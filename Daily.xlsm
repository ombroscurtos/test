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afaelvilela\Desktop\code\Python2\email\"/>
    </mc:Choice>
  </mc:AlternateContent>
  <xr:revisionPtr revIDLastSave="0" documentId="13_ncr:1_{1EE9975D-A55A-4DCF-822C-7ECEC136520D}" xr6:coauthVersionLast="47" xr6:coauthVersionMax="47" xr10:uidLastSave="{00000000-0000-0000-0000-000000000000}"/>
  <bookViews>
    <workbookView xWindow="-108" yWindow="-108" windowWidth="23256" windowHeight="12576" activeTab="2" xr2:uid="{9CA38292-35BC-43E3-9382-A68EDCB8AD6D}"/>
  </bookViews>
  <sheets>
    <sheet name="Maio" sheetId="1" r:id="rId1"/>
    <sheet name="Junho" sheetId="3" r:id="rId2"/>
    <sheet name="Julho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35" i="4" l="1"/>
  <c r="N35" i="4"/>
  <c r="G35" i="4"/>
  <c r="F35" i="4"/>
  <c r="E35" i="4"/>
  <c r="D35" i="4"/>
  <c r="C35" i="4"/>
  <c r="N36" i="4"/>
  <c r="F36" i="4"/>
  <c r="D36" i="4"/>
  <c r="C36" i="4"/>
  <c r="O34" i="3"/>
  <c r="C35" i="3"/>
  <c r="G35" i="3" s="1"/>
  <c r="C34" i="3"/>
  <c r="F34" i="3"/>
  <c r="D34" i="3"/>
  <c r="N34" i="3"/>
  <c r="N35" i="3"/>
  <c r="F35" i="3"/>
  <c r="D35" i="3"/>
  <c r="G33" i="3"/>
  <c r="E33" i="3"/>
  <c r="M36" i="4"/>
  <c r="L36" i="4"/>
  <c r="K36" i="4"/>
  <c r="J36" i="4"/>
  <c r="I36" i="4"/>
  <c r="H36" i="4"/>
  <c r="M35" i="4"/>
  <c r="L35" i="4"/>
  <c r="K35" i="4"/>
  <c r="J35" i="4"/>
  <c r="I35" i="4"/>
  <c r="H35" i="4"/>
  <c r="E32" i="3"/>
  <c r="G30" i="3"/>
  <c r="G31" i="3"/>
  <c r="G32" i="3"/>
  <c r="G26" i="3"/>
  <c r="E31" i="3"/>
  <c r="E30" i="3"/>
  <c r="G28" i="3"/>
  <c r="E28" i="3"/>
  <c r="G27" i="3"/>
  <c r="G25" i="3"/>
  <c r="G24" i="3"/>
  <c r="G23" i="3"/>
  <c r="E27" i="3"/>
  <c r="E26" i="3"/>
  <c r="E25" i="3"/>
  <c r="E24" i="3"/>
  <c r="E23" i="3"/>
  <c r="G21" i="3"/>
  <c r="G20" i="3"/>
  <c r="G19" i="3"/>
  <c r="G18" i="3"/>
  <c r="G17" i="3"/>
  <c r="G16" i="3"/>
  <c r="E21" i="3"/>
  <c r="E20" i="3"/>
  <c r="E19" i="3"/>
  <c r="E18" i="3"/>
  <c r="E17" i="3"/>
  <c r="E16" i="3"/>
  <c r="E11" i="3"/>
  <c r="E12" i="3"/>
  <c r="E13" i="3"/>
  <c r="E14" i="3"/>
  <c r="G11" i="3"/>
  <c r="G12" i="3"/>
  <c r="G13" i="3"/>
  <c r="G14" i="3"/>
  <c r="G10" i="3"/>
  <c r="E10" i="3"/>
  <c r="G9" i="3"/>
  <c r="E9" i="3"/>
  <c r="E35" i="3" l="1"/>
  <c r="O35" i="3"/>
  <c r="G6" i="3"/>
  <c r="G7" i="3"/>
  <c r="E7" i="3"/>
  <c r="E6" i="3"/>
  <c r="G4" i="3"/>
  <c r="E4" i="3"/>
  <c r="E34" i="3" s="1"/>
  <c r="G5" i="3"/>
  <c r="E5" i="3"/>
  <c r="G33" i="1"/>
  <c r="E33" i="1"/>
  <c r="D35" i="1"/>
  <c r="G31" i="1"/>
  <c r="G32" i="1"/>
  <c r="E32" i="1"/>
  <c r="E31" i="1"/>
  <c r="I34" i="1"/>
  <c r="I35" i="1"/>
  <c r="G30" i="1"/>
  <c r="E30" i="1"/>
  <c r="G29" i="1"/>
  <c r="E29" i="1"/>
  <c r="G28" i="1"/>
  <c r="E28" i="1"/>
  <c r="E27" i="1"/>
  <c r="E26" i="1"/>
  <c r="G34" i="3" l="1"/>
  <c r="G27" i="1"/>
  <c r="G26" i="1"/>
  <c r="H34" i="1"/>
  <c r="F34" i="1"/>
  <c r="D34" i="1"/>
  <c r="C34" i="1"/>
  <c r="H34" i="3"/>
  <c r="I34" i="3"/>
  <c r="J34" i="3"/>
  <c r="K34" i="3"/>
  <c r="L34" i="3"/>
  <c r="M34" i="3"/>
  <c r="M35" i="3" l="1"/>
  <c r="L35" i="3"/>
  <c r="K35" i="3"/>
  <c r="J35" i="3"/>
  <c r="I35" i="3"/>
  <c r="H35" i="3"/>
  <c r="H35" i="1"/>
  <c r="F35" i="1"/>
  <c r="C35" i="1"/>
  <c r="G10" i="1"/>
  <c r="G5" i="1"/>
  <c r="G6" i="1"/>
  <c r="G7" i="1"/>
  <c r="G8" i="1"/>
  <c r="G9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4" i="1"/>
  <c r="E7" i="1"/>
  <c r="E5" i="1"/>
  <c r="E6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4" i="1"/>
  <c r="E34" i="1" l="1"/>
  <c r="G34" i="1"/>
</calcChain>
</file>

<file path=xl/sharedStrings.xml><?xml version="1.0" encoding="utf-8"?>
<sst xmlns="http://schemas.openxmlformats.org/spreadsheetml/2006/main" count="65" uniqueCount="27">
  <si>
    <t>SLA</t>
  </si>
  <si>
    <t>Total</t>
  </si>
  <si>
    <t>Atendidas</t>
  </si>
  <si>
    <t>%</t>
  </si>
  <si>
    <t>Rejeitadas</t>
  </si>
  <si>
    <t>PF</t>
  </si>
  <si>
    <t>PJ</t>
  </si>
  <si>
    <t>TMA Assessoria</t>
  </si>
  <si>
    <t>TMA Conversa</t>
  </si>
  <si>
    <t>Rejeitadas (atendimento assessoria)</t>
  </si>
  <si>
    <t>Dia</t>
  </si>
  <si>
    <t>Controle Diário de Chamadas Abandonadas - Retorno Ura TIM</t>
  </si>
  <si>
    <t>MÉDIA</t>
  </si>
  <si>
    <t>SOMA</t>
  </si>
  <si>
    <t>Domingo</t>
  </si>
  <si>
    <t>XXXXXX</t>
  </si>
  <si>
    <t>a</t>
  </si>
  <si>
    <t>b</t>
  </si>
  <si>
    <t>d</t>
  </si>
  <si>
    <t>e</t>
  </si>
  <si>
    <t>f</t>
  </si>
  <si>
    <t>g</t>
  </si>
  <si>
    <t>7 5</t>
  </si>
  <si>
    <t>32 7</t>
  </si>
  <si>
    <t>66 8% 00:</t>
  </si>
  <si>
    <t>00:01 00:</t>
  </si>
  <si>
    <t>:27 13 97% 97%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</si>
</sst>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4">
    <xf numFmtId="0" fontId="0" fillId="0" borderId="0" xfId="0"/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9" fontId="4" fillId="0" borderId="11" xfId="1" applyFont="1" applyBorder="1" applyAlignment="1">
      <alignment horizontal="center" vertical="center"/>
    </xf>
    <xf numFmtId="9" fontId="4" fillId="0" borderId="12" xfId="1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9" fontId="3" fillId="0" borderId="0" xfId="1" applyFont="1" applyAlignment="1">
      <alignment vertical="center"/>
    </xf>
    <xf numFmtId="0" fontId="4" fillId="0" borderId="10" xfId="0" applyFont="1" applyBorder="1" applyAlignment="1">
      <alignment horizontal="center" vertical="center"/>
    </xf>
    <xf numFmtId="9" fontId="3" fillId="0" borderId="0" xfId="1" applyFont="1" applyAlignment="1">
      <alignment horizontal="center" vertical="center"/>
    </xf>
    <xf numFmtId="16" fontId="3" fillId="0" borderId="4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9" fontId="3" fillId="0" borderId="5" xfId="1" applyFont="1" applyBorder="1" applyAlignment="1">
      <alignment horizontal="center" vertical="center"/>
    </xf>
    <xf numFmtId="9" fontId="3" fillId="0" borderId="6" xfId="1" applyFont="1" applyBorder="1" applyAlignment="1">
      <alignment horizontal="center" vertical="center"/>
    </xf>
    <xf numFmtId="16" fontId="3" fillId="0" borderId="2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9" fontId="3" fillId="0" borderId="1" xfId="1" applyFont="1" applyBorder="1" applyAlignment="1">
      <alignment horizontal="center" vertical="center"/>
    </xf>
    <xf numFmtId="9" fontId="3" fillId="0" borderId="3" xfId="1" applyFont="1" applyBorder="1" applyAlignment="1">
      <alignment horizontal="center" vertical="center"/>
    </xf>
    <xf numFmtId="16" fontId="3" fillId="0" borderId="13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16" fontId="4" fillId="2" borderId="10" xfId="0" applyNumberFormat="1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164" fontId="4" fillId="2" borderId="11" xfId="0" applyNumberFormat="1" applyFont="1" applyFill="1" applyBorder="1" applyAlignment="1">
      <alignment horizontal="center" vertical="center"/>
    </xf>
    <xf numFmtId="9" fontId="4" fillId="2" borderId="11" xfId="1" applyFont="1" applyFill="1" applyBorder="1" applyAlignment="1">
      <alignment horizontal="center" vertical="center"/>
    </xf>
    <xf numFmtId="9" fontId="4" fillId="2" borderId="12" xfId="1" applyFont="1" applyFill="1" applyBorder="1" applyAlignment="1">
      <alignment horizontal="center" vertical="center"/>
    </xf>
    <xf numFmtId="16" fontId="4" fillId="2" borderId="7" xfId="0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9" fontId="4" fillId="2" borderId="9" xfId="0" applyNumberFormat="1" applyFont="1" applyFill="1" applyBorder="1" applyAlignment="1">
      <alignment horizontal="center" vertical="center"/>
    </xf>
    <xf numFmtId="9" fontId="3" fillId="0" borderId="5" xfId="0" applyNumberFormat="1" applyFont="1" applyBorder="1" applyAlignment="1">
      <alignment horizontal="center" vertical="center"/>
    </xf>
    <xf numFmtId="21" fontId="3" fillId="0" borderId="5" xfId="0" applyNumberFormat="1" applyFont="1" applyBorder="1" applyAlignment="1">
      <alignment horizontal="center" vertical="center"/>
    </xf>
    <xf numFmtId="9" fontId="3" fillId="0" borderId="1" xfId="0" applyNumberFormat="1" applyFont="1" applyBorder="1" applyAlignment="1">
      <alignment horizontal="center" vertical="center"/>
    </xf>
    <xf numFmtId="21" fontId="3" fillId="0" borderId="1" xfId="0" applyNumberFormat="1" applyFont="1" applyBorder="1" applyAlignment="1">
      <alignment horizontal="center" vertical="center"/>
    </xf>
    <xf numFmtId="9" fontId="3" fillId="0" borderId="15" xfId="1" applyFont="1" applyBorder="1" applyAlignment="1">
      <alignment horizontal="center" vertical="center"/>
    </xf>
    <xf numFmtId="9" fontId="4" fillId="2" borderId="8" xfId="1" applyFont="1" applyFill="1" applyBorder="1" applyAlignment="1">
      <alignment horizontal="center" vertical="center"/>
    </xf>
    <xf numFmtId="9" fontId="4" fillId="2" borderId="16" xfId="0" applyNumberFormat="1" applyFont="1" applyFill="1" applyBorder="1" applyAlignment="1">
      <alignment horizontal="center" vertical="center"/>
    </xf>
    <xf numFmtId="21" fontId="4" fillId="0" borderId="7" xfId="0" applyNumberFormat="1" applyFont="1" applyBorder="1" applyAlignment="1">
      <alignment horizontal="center" vertical="center"/>
    </xf>
    <xf numFmtId="0" fontId="4" fillId="2" borderId="19" xfId="0" applyFont="1" applyFill="1" applyBorder="1" applyAlignment="1">
      <alignment horizontal="center" vertical="center"/>
    </xf>
    <xf numFmtId="9" fontId="4" fillId="2" borderId="18" xfId="0" applyNumberFormat="1" applyFont="1" applyFill="1" applyBorder="1" applyAlignment="1">
      <alignment horizontal="center" vertical="center"/>
    </xf>
    <xf numFmtId="21" fontId="4" fillId="0" borderId="16" xfId="0" applyNumberFormat="1" applyFont="1" applyBorder="1" applyAlignment="1">
      <alignment horizontal="center" vertical="center"/>
    </xf>
    <xf numFmtId="9" fontId="4" fillId="2" borderId="20" xfId="0" applyNumberFormat="1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0" fontId="4" fillId="2" borderId="21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16" fontId="4" fillId="2" borderId="18" xfId="0" applyNumberFormat="1" applyFont="1" applyFill="1" applyBorder="1" applyAlignment="1">
      <alignment horizontal="center" vertical="center"/>
    </xf>
    <xf numFmtId="164" fontId="4" fillId="2" borderId="18" xfId="0" applyNumberFormat="1" applyFont="1" applyFill="1" applyBorder="1" applyAlignment="1">
      <alignment horizontal="center" vertical="center"/>
    </xf>
    <xf numFmtId="1" fontId="4" fillId="2" borderId="18" xfId="0" applyNumberFormat="1" applyFont="1" applyFill="1" applyBorder="1" applyAlignment="1">
      <alignment horizontal="center" vertical="center"/>
    </xf>
    <xf numFmtId="9" fontId="4" fillId="2" borderId="18" xfId="1" applyFont="1" applyFill="1" applyBorder="1" applyAlignment="1">
      <alignment horizontal="center" vertical="center"/>
    </xf>
    <xf numFmtId="10" fontId="4" fillId="2" borderId="20" xfId="0" applyNumberFormat="1" applyFont="1" applyFill="1" applyBorder="1" applyAlignment="1">
      <alignment horizontal="center" vertical="center"/>
    </xf>
    <xf numFmtId="9" fontId="0" fillId="0" borderId="0" xfId="0" applyNumberFormat="1"/>
    <xf numFmtId="21" fontId="0" fillId="0" borderId="0" xfId="0" applyNumberFormat="1"/>
    <xf numFmtId="0" fontId="2" fillId="0" borderId="0" xfId="0" applyFont="1" applyAlignment="1">
      <alignment horizontal="right" vertical="center"/>
    </xf>
    <xf numFmtId="0" fontId="0" fillId="0" borderId="0" xfId="0" applyAlignment="1">
      <alignment horizontal="right"/>
    </xf>
    <xf numFmtId="0" fontId="2" fillId="0" borderId="0" xfId="0" applyFont="1" applyAlignment="1">
      <alignment horizontal="left" vertical="center"/>
    </xf>
    <xf numFmtId="20" fontId="3" fillId="0" borderId="1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16" fontId="4" fillId="0" borderId="22" xfId="0" applyNumberFormat="1" applyFont="1" applyBorder="1" applyAlignment="1">
      <alignment horizontal="center" vertical="center"/>
    </xf>
    <xf numFmtId="16" fontId="4" fillId="0" borderId="23" xfId="0" applyNumberFormat="1" applyFont="1" applyBorder="1" applyAlignment="1">
      <alignment horizontal="center" vertical="center"/>
    </xf>
    <xf numFmtId="16" fontId="4" fillId="0" borderId="24" xfId="0" applyNumberFormat="1" applyFont="1" applyBorder="1" applyAlignment="1">
      <alignment horizontal="center" vertical="center"/>
    </xf>
    <xf numFmtId="0" fontId="5" fillId="0" borderId="0" xfId="0" applyFont="1"/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9D9B4-0908-424E-966C-779EBBC3ADAF}">
  <sheetPr codeName="Planilha1"/>
  <dimension ref="A1:I35"/>
  <sheetViews>
    <sheetView showGridLines="0" zoomScaleNormal="100" workbookViewId="0">
      <selection activeCell="I6" sqref="I6"/>
    </sheetView>
  </sheetViews>
  <sheetFormatPr defaultColWidth="9.109375" defaultRowHeight="15" customHeight="1" x14ac:dyDescent="0.3"/>
  <cols>
    <col min="1" max="1" width="3.6640625" style="1" customWidth="1"/>
    <col min="2" max="2" width="8.5546875" style="3" customWidth="1"/>
    <col min="3" max="3" width="5.109375" style="3" bestFit="1" customWidth="1"/>
    <col min="4" max="4" width="9.109375" style="3" bestFit="1" customWidth="1"/>
    <col min="5" max="5" width="8" style="11" customWidth="1"/>
    <col min="6" max="6" width="9.5546875" style="3" bestFit="1" customWidth="1"/>
    <col min="7" max="7" width="13.44140625" style="11" customWidth="1"/>
    <col min="8" max="8" width="31" style="3" bestFit="1" customWidth="1"/>
    <col min="9" max="9" width="6.33203125" style="11" bestFit="1" customWidth="1"/>
    <col min="10" max="16384" width="9.109375" style="1"/>
  </cols>
  <sheetData>
    <row r="1" spans="1:9" ht="15" customHeight="1" thickBot="1" x14ac:dyDescent="0.35"/>
    <row r="2" spans="1:9" s="2" customFormat="1" ht="15" customHeight="1" thickBot="1" x14ac:dyDescent="0.35">
      <c r="A2" s="3"/>
      <c r="B2" s="57" t="s">
        <v>11</v>
      </c>
      <c r="C2" s="58"/>
      <c r="D2" s="58"/>
      <c r="E2" s="58"/>
      <c r="F2" s="58"/>
      <c r="G2" s="58"/>
      <c r="H2" s="58"/>
      <c r="I2" s="59"/>
    </row>
    <row r="3" spans="1:9" s="2" customFormat="1" ht="15" customHeight="1" thickBot="1" x14ac:dyDescent="0.35">
      <c r="A3" s="4"/>
      <c r="B3" s="10" t="s">
        <v>10</v>
      </c>
      <c r="C3" s="5" t="s">
        <v>1</v>
      </c>
      <c r="D3" s="5" t="s">
        <v>2</v>
      </c>
      <c r="E3" s="6" t="s">
        <v>3</v>
      </c>
      <c r="F3" s="5" t="s">
        <v>4</v>
      </c>
      <c r="G3" s="6" t="s">
        <v>3</v>
      </c>
      <c r="H3" s="5" t="s">
        <v>9</v>
      </c>
      <c r="I3" s="7" t="s">
        <v>0</v>
      </c>
    </row>
    <row r="4" spans="1:9" ht="15" customHeight="1" x14ac:dyDescent="0.3">
      <c r="A4" s="8"/>
      <c r="B4" s="12">
        <v>44683</v>
      </c>
      <c r="C4" s="13">
        <v>108</v>
      </c>
      <c r="D4" s="13">
        <v>99</v>
      </c>
      <c r="E4" s="14">
        <f>D4/C4</f>
        <v>0.91666666666666663</v>
      </c>
      <c r="F4" s="13">
        <v>9</v>
      </c>
      <c r="G4" s="14">
        <f>F4/C4</f>
        <v>8.3333333333333329E-2</v>
      </c>
      <c r="H4" s="13">
        <v>1</v>
      </c>
      <c r="I4" s="15">
        <v>0.99</v>
      </c>
    </row>
    <row r="5" spans="1:9" ht="15" customHeight="1" x14ac:dyDescent="0.3">
      <c r="A5" s="8"/>
      <c r="B5" s="16">
        <v>44684</v>
      </c>
      <c r="C5" s="17">
        <v>140</v>
      </c>
      <c r="D5" s="17">
        <v>81</v>
      </c>
      <c r="E5" s="18">
        <f t="shared" ref="E5:E25" si="0">D5/C5</f>
        <v>0.57857142857142863</v>
      </c>
      <c r="F5" s="17">
        <v>59</v>
      </c>
      <c r="G5" s="18">
        <f t="shared" ref="G5:G25" si="1">F5/C5</f>
        <v>0.42142857142857143</v>
      </c>
      <c r="H5" s="17">
        <v>50</v>
      </c>
      <c r="I5" s="19">
        <v>0.62</v>
      </c>
    </row>
    <row r="6" spans="1:9" ht="15" customHeight="1" x14ac:dyDescent="0.3">
      <c r="A6" s="8"/>
      <c r="B6" s="16">
        <v>44685</v>
      </c>
      <c r="C6" s="17">
        <v>111</v>
      </c>
      <c r="D6" s="17">
        <v>102</v>
      </c>
      <c r="E6" s="18">
        <f t="shared" si="0"/>
        <v>0.91891891891891897</v>
      </c>
      <c r="F6" s="17">
        <v>9</v>
      </c>
      <c r="G6" s="18">
        <f t="shared" si="1"/>
        <v>8.1081081081081086E-2</v>
      </c>
      <c r="H6" s="17">
        <v>0</v>
      </c>
      <c r="I6" s="19">
        <v>1</v>
      </c>
    </row>
    <row r="7" spans="1:9" ht="15" customHeight="1" x14ac:dyDescent="0.3">
      <c r="A7" s="8"/>
      <c r="B7" s="16">
        <v>44686</v>
      </c>
      <c r="C7" s="17">
        <v>108</v>
      </c>
      <c r="D7" s="17">
        <v>95</v>
      </c>
      <c r="E7" s="18">
        <f>D7/C7</f>
        <v>0.87962962962962965</v>
      </c>
      <c r="F7" s="17">
        <v>13</v>
      </c>
      <c r="G7" s="18">
        <f t="shared" si="1"/>
        <v>0.12037037037037036</v>
      </c>
      <c r="H7" s="17">
        <v>1</v>
      </c>
      <c r="I7" s="19">
        <v>0.99</v>
      </c>
    </row>
    <row r="8" spans="1:9" ht="15" customHeight="1" x14ac:dyDescent="0.3">
      <c r="A8" s="8"/>
      <c r="B8" s="16">
        <v>44687</v>
      </c>
      <c r="C8" s="17">
        <v>112</v>
      </c>
      <c r="D8" s="17">
        <v>104</v>
      </c>
      <c r="E8" s="18">
        <f t="shared" si="0"/>
        <v>0.9285714285714286</v>
      </c>
      <c r="F8" s="17">
        <v>8</v>
      </c>
      <c r="G8" s="18">
        <f t="shared" si="1"/>
        <v>7.1428571428571425E-2</v>
      </c>
      <c r="H8" s="17">
        <v>2</v>
      </c>
      <c r="I8" s="19">
        <v>0.98</v>
      </c>
    </row>
    <row r="9" spans="1:9" ht="15" customHeight="1" x14ac:dyDescent="0.3">
      <c r="A9" s="8"/>
      <c r="B9" s="16">
        <v>44688</v>
      </c>
      <c r="C9" s="17">
        <v>48</v>
      </c>
      <c r="D9" s="17">
        <v>20</v>
      </c>
      <c r="E9" s="18">
        <f t="shared" si="0"/>
        <v>0.41666666666666669</v>
      </c>
      <c r="F9" s="17">
        <v>28</v>
      </c>
      <c r="G9" s="18">
        <f t="shared" si="1"/>
        <v>0.58333333333333337</v>
      </c>
      <c r="H9" s="17">
        <v>0</v>
      </c>
      <c r="I9" s="19">
        <v>1</v>
      </c>
    </row>
    <row r="10" spans="1:9" ht="15" customHeight="1" x14ac:dyDescent="0.3">
      <c r="A10" s="8"/>
      <c r="B10" s="16">
        <v>44689</v>
      </c>
      <c r="C10" s="17">
        <v>16</v>
      </c>
      <c r="D10" s="17">
        <v>0</v>
      </c>
      <c r="E10" s="18">
        <f t="shared" si="0"/>
        <v>0</v>
      </c>
      <c r="F10" s="17">
        <v>16</v>
      </c>
      <c r="G10" s="18">
        <f>F10/C10</f>
        <v>1</v>
      </c>
      <c r="H10" s="17">
        <v>0</v>
      </c>
      <c r="I10" s="19">
        <v>1</v>
      </c>
    </row>
    <row r="11" spans="1:9" ht="15" customHeight="1" x14ac:dyDescent="0.3">
      <c r="A11" s="8"/>
      <c r="B11" s="16">
        <v>44690</v>
      </c>
      <c r="C11" s="17">
        <v>76</v>
      </c>
      <c r="D11" s="17">
        <v>71</v>
      </c>
      <c r="E11" s="18">
        <f t="shared" si="0"/>
        <v>0.93421052631578949</v>
      </c>
      <c r="F11" s="17">
        <v>5</v>
      </c>
      <c r="G11" s="18">
        <f t="shared" si="1"/>
        <v>6.5789473684210523E-2</v>
      </c>
      <c r="H11" s="17">
        <v>0</v>
      </c>
      <c r="I11" s="19">
        <v>1</v>
      </c>
    </row>
    <row r="12" spans="1:9" ht="15" customHeight="1" x14ac:dyDescent="0.3">
      <c r="A12" s="8"/>
      <c r="B12" s="16">
        <v>44691</v>
      </c>
      <c r="C12" s="17">
        <v>86</v>
      </c>
      <c r="D12" s="17">
        <v>78</v>
      </c>
      <c r="E12" s="18">
        <f t="shared" si="0"/>
        <v>0.90697674418604646</v>
      </c>
      <c r="F12" s="17">
        <v>8</v>
      </c>
      <c r="G12" s="18">
        <f t="shared" si="1"/>
        <v>9.3023255813953487E-2</v>
      </c>
      <c r="H12" s="17">
        <v>0</v>
      </c>
      <c r="I12" s="19">
        <v>1</v>
      </c>
    </row>
    <row r="13" spans="1:9" ht="15" customHeight="1" x14ac:dyDescent="0.3">
      <c r="A13" s="8"/>
      <c r="B13" s="16">
        <v>44692</v>
      </c>
      <c r="C13" s="17">
        <v>273</v>
      </c>
      <c r="D13" s="17">
        <v>236</v>
      </c>
      <c r="E13" s="18">
        <f t="shared" si="0"/>
        <v>0.86446886446886451</v>
      </c>
      <c r="F13" s="17">
        <v>37</v>
      </c>
      <c r="G13" s="18">
        <f t="shared" si="1"/>
        <v>0.13553113553113552</v>
      </c>
      <c r="H13" s="17">
        <v>2</v>
      </c>
      <c r="I13" s="19">
        <v>0.99</v>
      </c>
    </row>
    <row r="14" spans="1:9" ht="15" customHeight="1" x14ac:dyDescent="0.3">
      <c r="A14" s="8"/>
      <c r="B14" s="16">
        <v>44693</v>
      </c>
      <c r="C14" s="17">
        <v>161</v>
      </c>
      <c r="D14" s="17">
        <v>140</v>
      </c>
      <c r="E14" s="18">
        <f t="shared" si="0"/>
        <v>0.86956521739130432</v>
      </c>
      <c r="F14" s="17">
        <v>21</v>
      </c>
      <c r="G14" s="18">
        <f t="shared" si="1"/>
        <v>0.13043478260869565</v>
      </c>
      <c r="H14" s="17">
        <v>0</v>
      </c>
      <c r="I14" s="19">
        <v>1</v>
      </c>
    </row>
    <row r="15" spans="1:9" ht="15" customHeight="1" x14ac:dyDescent="0.3">
      <c r="A15" s="8"/>
      <c r="B15" s="16">
        <v>44694</v>
      </c>
      <c r="C15" s="17">
        <v>101</v>
      </c>
      <c r="D15" s="17">
        <v>84</v>
      </c>
      <c r="E15" s="18">
        <f t="shared" si="0"/>
        <v>0.83168316831683164</v>
      </c>
      <c r="F15" s="17">
        <v>17</v>
      </c>
      <c r="G15" s="18">
        <f t="shared" si="1"/>
        <v>0.16831683168316833</v>
      </c>
      <c r="H15" s="17">
        <v>6</v>
      </c>
      <c r="I15" s="19">
        <v>0.93</v>
      </c>
    </row>
    <row r="16" spans="1:9" ht="15" customHeight="1" x14ac:dyDescent="0.3">
      <c r="A16" s="8"/>
      <c r="B16" s="16">
        <v>44695</v>
      </c>
      <c r="C16" s="17">
        <v>46</v>
      </c>
      <c r="D16" s="17">
        <v>25</v>
      </c>
      <c r="E16" s="18">
        <f t="shared" si="0"/>
        <v>0.54347826086956519</v>
      </c>
      <c r="F16" s="17">
        <v>21</v>
      </c>
      <c r="G16" s="18">
        <f t="shared" si="1"/>
        <v>0.45652173913043476</v>
      </c>
      <c r="H16" s="17">
        <v>0</v>
      </c>
      <c r="I16" s="19">
        <v>1</v>
      </c>
    </row>
    <row r="17" spans="1:9" ht="15" customHeight="1" x14ac:dyDescent="0.3">
      <c r="A17" s="8"/>
      <c r="B17" s="16">
        <v>44696</v>
      </c>
      <c r="C17" s="17">
        <v>17</v>
      </c>
      <c r="D17" s="17">
        <v>0</v>
      </c>
      <c r="E17" s="18">
        <f t="shared" si="0"/>
        <v>0</v>
      </c>
      <c r="F17" s="17">
        <v>17</v>
      </c>
      <c r="G17" s="18">
        <f t="shared" si="1"/>
        <v>1</v>
      </c>
      <c r="H17" s="17">
        <v>0</v>
      </c>
      <c r="I17" s="19">
        <v>1</v>
      </c>
    </row>
    <row r="18" spans="1:9" ht="15" customHeight="1" x14ac:dyDescent="0.3">
      <c r="A18" s="8"/>
      <c r="B18" s="16">
        <v>44697</v>
      </c>
      <c r="C18" s="17">
        <v>124</v>
      </c>
      <c r="D18" s="17">
        <v>113</v>
      </c>
      <c r="E18" s="18">
        <f t="shared" si="0"/>
        <v>0.91129032258064513</v>
      </c>
      <c r="F18" s="17">
        <v>11</v>
      </c>
      <c r="G18" s="18">
        <f t="shared" si="1"/>
        <v>8.8709677419354843E-2</v>
      </c>
      <c r="H18" s="17">
        <v>0</v>
      </c>
      <c r="I18" s="19">
        <v>1</v>
      </c>
    </row>
    <row r="19" spans="1:9" ht="15" customHeight="1" x14ac:dyDescent="0.3">
      <c r="A19" s="8"/>
      <c r="B19" s="16">
        <v>44698</v>
      </c>
      <c r="C19" s="17">
        <v>92</v>
      </c>
      <c r="D19" s="17">
        <v>89</v>
      </c>
      <c r="E19" s="18">
        <f t="shared" si="0"/>
        <v>0.96739130434782605</v>
      </c>
      <c r="F19" s="17">
        <v>3</v>
      </c>
      <c r="G19" s="18">
        <f t="shared" si="1"/>
        <v>3.2608695652173912E-2</v>
      </c>
      <c r="H19" s="17">
        <v>0</v>
      </c>
      <c r="I19" s="19">
        <v>1</v>
      </c>
    </row>
    <row r="20" spans="1:9" ht="15" customHeight="1" x14ac:dyDescent="0.3">
      <c r="A20" s="8"/>
      <c r="B20" s="16">
        <v>44699</v>
      </c>
      <c r="C20" s="17">
        <v>209</v>
      </c>
      <c r="D20" s="17">
        <v>192</v>
      </c>
      <c r="E20" s="18">
        <f t="shared" si="0"/>
        <v>0.91866028708133973</v>
      </c>
      <c r="F20" s="17">
        <v>17</v>
      </c>
      <c r="G20" s="18">
        <f t="shared" si="1"/>
        <v>8.1339712918660281E-2</v>
      </c>
      <c r="H20" s="17">
        <v>0</v>
      </c>
      <c r="I20" s="19">
        <v>1</v>
      </c>
    </row>
    <row r="21" spans="1:9" ht="15" customHeight="1" x14ac:dyDescent="0.3">
      <c r="A21" s="8"/>
      <c r="B21" s="16">
        <v>44700</v>
      </c>
      <c r="C21" s="17">
        <v>118</v>
      </c>
      <c r="D21" s="17">
        <v>105</v>
      </c>
      <c r="E21" s="18">
        <f t="shared" si="0"/>
        <v>0.88983050847457623</v>
      </c>
      <c r="F21" s="17">
        <v>13</v>
      </c>
      <c r="G21" s="18">
        <f t="shared" si="1"/>
        <v>0.11016949152542373</v>
      </c>
      <c r="H21" s="17">
        <v>0</v>
      </c>
      <c r="I21" s="19">
        <v>1</v>
      </c>
    </row>
    <row r="22" spans="1:9" ht="15" customHeight="1" x14ac:dyDescent="0.3">
      <c r="A22" s="8"/>
      <c r="B22" s="16">
        <v>44701</v>
      </c>
      <c r="C22" s="17">
        <v>96</v>
      </c>
      <c r="D22" s="17">
        <v>90</v>
      </c>
      <c r="E22" s="18">
        <f t="shared" si="0"/>
        <v>0.9375</v>
      </c>
      <c r="F22" s="17">
        <v>6</v>
      </c>
      <c r="G22" s="18">
        <f t="shared" si="1"/>
        <v>6.25E-2</v>
      </c>
      <c r="H22" s="17">
        <v>0</v>
      </c>
      <c r="I22" s="19">
        <v>1</v>
      </c>
    </row>
    <row r="23" spans="1:9" ht="15" customHeight="1" x14ac:dyDescent="0.3">
      <c r="A23" s="8"/>
      <c r="B23" s="16">
        <v>44702</v>
      </c>
      <c r="C23" s="17">
        <v>44</v>
      </c>
      <c r="D23" s="17">
        <v>28</v>
      </c>
      <c r="E23" s="18">
        <f t="shared" si="0"/>
        <v>0.63636363636363635</v>
      </c>
      <c r="F23" s="17">
        <v>16</v>
      </c>
      <c r="G23" s="18">
        <f t="shared" si="1"/>
        <v>0.36363636363636365</v>
      </c>
      <c r="H23" s="17">
        <v>0</v>
      </c>
      <c r="I23" s="19">
        <v>1</v>
      </c>
    </row>
    <row r="24" spans="1:9" ht="15" customHeight="1" x14ac:dyDescent="0.3">
      <c r="A24" s="8"/>
      <c r="B24" s="16">
        <v>44703</v>
      </c>
      <c r="C24" s="17">
        <v>11</v>
      </c>
      <c r="D24" s="17">
        <v>0</v>
      </c>
      <c r="E24" s="18">
        <f t="shared" si="0"/>
        <v>0</v>
      </c>
      <c r="F24" s="17">
        <v>11</v>
      </c>
      <c r="G24" s="18">
        <f t="shared" si="1"/>
        <v>1</v>
      </c>
      <c r="H24" s="17">
        <v>0</v>
      </c>
      <c r="I24" s="19">
        <v>1</v>
      </c>
    </row>
    <row r="25" spans="1:9" ht="15" customHeight="1" x14ac:dyDescent="0.3">
      <c r="A25" s="8"/>
      <c r="B25" s="16">
        <v>44704</v>
      </c>
      <c r="C25" s="17">
        <v>159</v>
      </c>
      <c r="D25" s="17">
        <v>153</v>
      </c>
      <c r="E25" s="18">
        <f t="shared" si="0"/>
        <v>0.96226415094339623</v>
      </c>
      <c r="F25" s="17">
        <v>6</v>
      </c>
      <c r="G25" s="18">
        <f t="shared" si="1"/>
        <v>3.7735849056603772E-2</v>
      </c>
      <c r="H25" s="17">
        <v>0</v>
      </c>
      <c r="I25" s="19">
        <v>1</v>
      </c>
    </row>
    <row r="26" spans="1:9" ht="15" customHeight="1" x14ac:dyDescent="0.3">
      <c r="A26" s="8"/>
      <c r="B26" s="16">
        <v>44705</v>
      </c>
      <c r="C26" s="17">
        <v>115</v>
      </c>
      <c r="D26" s="17">
        <v>104</v>
      </c>
      <c r="E26" s="18">
        <f>D26/C26</f>
        <v>0.90434782608695652</v>
      </c>
      <c r="F26" s="17">
        <v>11</v>
      </c>
      <c r="G26" s="18">
        <f>F26/C26</f>
        <v>9.5652173913043481E-2</v>
      </c>
      <c r="H26" s="17">
        <v>1</v>
      </c>
      <c r="I26" s="19">
        <v>0.99</v>
      </c>
    </row>
    <row r="27" spans="1:9" ht="15" customHeight="1" x14ac:dyDescent="0.3">
      <c r="A27" s="8"/>
      <c r="B27" s="16">
        <v>44706</v>
      </c>
      <c r="C27" s="17">
        <v>90</v>
      </c>
      <c r="D27" s="17">
        <v>84</v>
      </c>
      <c r="E27" s="18">
        <f>D27/C27</f>
        <v>0.93333333333333335</v>
      </c>
      <c r="F27" s="17">
        <v>6</v>
      </c>
      <c r="G27" s="18">
        <f>F27/C27</f>
        <v>6.6666666666666666E-2</v>
      </c>
      <c r="H27" s="17">
        <v>1</v>
      </c>
      <c r="I27" s="19">
        <v>0.99</v>
      </c>
    </row>
    <row r="28" spans="1:9" ht="15" customHeight="1" x14ac:dyDescent="0.3">
      <c r="B28" s="16">
        <v>44707</v>
      </c>
      <c r="C28" s="17">
        <v>73</v>
      </c>
      <c r="D28" s="17">
        <v>73</v>
      </c>
      <c r="E28" s="18">
        <f>D28/C28</f>
        <v>1</v>
      </c>
      <c r="F28" s="17">
        <v>0</v>
      </c>
      <c r="G28" s="18">
        <f>F28/C28</f>
        <v>0</v>
      </c>
      <c r="H28" s="17">
        <v>0</v>
      </c>
      <c r="I28" s="19">
        <v>1</v>
      </c>
    </row>
    <row r="29" spans="1:9" ht="15" customHeight="1" x14ac:dyDescent="0.3">
      <c r="B29" s="16">
        <v>44708</v>
      </c>
      <c r="C29" s="17">
        <v>167</v>
      </c>
      <c r="D29" s="17">
        <v>149</v>
      </c>
      <c r="E29" s="18">
        <f>D29/C29</f>
        <v>0.89221556886227549</v>
      </c>
      <c r="F29" s="17">
        <v>18</v>
      </c>
      <c r="G29" s="18">
        <f>F29/C29</f>
        <v>0.10778443113772455</v>
      </c>
      <c r="H29" s="17">
        <v>1</v>
      </c>
      <c r="I29" s="19">
        <v>1</v>
      </c>
    </row>
    <row r="30" spans="1:9" ht="15" customHeight="1" x14ac:dyDescent="0.3">
      <c r="B30" s="16">
        <v>44709</v>
      </c>
      <c r="C30" s="17">
        <v>59</v>
      </c>
      <c r="D30" s="17">
        <v>35</v>
      </c>
      <c r="E30" s="18">
        <f>D30/C30</f>
        <v>0.59322033898305082</v>
      </c>
      <c r="F30" s="17">
        <v>24</v>
      </c>
      <c r="G30" s="18">
        <f>F30/C30</f>
        <v>0.40677966101694918</v>
      </c>
      <c r="H30" s="17">
        <v>0</v>
      </c>
      <c r="I30" s="19">
        <v>1</v>
      </c>
    </row>
    <row r="31" spans="1:9" ht="15" hidden="1" customHeight="1" x14ac:dyDescent="0.3">
      <c r="B31" s="16">
        <v>44710</v>
      </c>
      <c r="C31" s="17"/>
      <c r="D31" s="17"/>
      <c r="E31" s="18" t="e">
        <f t="shared" ref="E31" si="2">D31/C31</f>
        <v>#DIV/0!</v>
      </c>
      <c r="F31" s="17"/>
      <c r="G31" s="18" t="e">
        <f t="shared" ref="G31:G33" si="3">F31/C31</f>
        <v>#DIV/0!</v>
      </c>
      <c r="H31" s="17"/>
      <c r="I31" s="19"/>
    </row>
    <row r="32" spans="1:9" ht="15" customHeight="1" x14ac:dyDescent="0.3">
      <c r="B32" s="20">
        <v>44711</v>
      </c>
      <c r="C32" s="21">
        <v>108</v>
      </c>
      <c r="D32" s="21">
        <v>100</v>
      </c>
      <c r="E32" s="18">
        <f>D32/C32</f>
        <v>0.92592592592592593</v>
      </c>
      <c r="F32" s="21">
        <v>8</v>
      </c>
      <c r="G32" s="18">
        <f t="shared" si="3"/>
        <v>7.407407407407407E-2</v>
      </c>
      <c r="H32" s="21">
        <v>0</v>
      </c>
      <c r="I32" s="19">
        <v>1</v>
      </c>
    </row>
    <row r="33" spans="2:9" ht="15" customHeight="1" thickBot="1" x14ac:dyDescent="0.35">
      <c r="B33" s="16">
        <v>44712</v>
      </c>
      <c r="C33" s="17">
        <v>110</v>
      </c>
      <c r="D33" s="17">
        <v>97</v>
      </c>
      <c r="E33" s="18">
        <f>D33/C33</f>
        <v>0.88181818181818183</v>
      </c>
      <c r="F33" s="17">
        <v>13</v>
      </c>
      <c r="G33" s="18">
        <f t="shared" si="3"/>
        <v>0.11818181818181818</v>
      </c>
      <c r="H33" s="17">
        <v>0</v>
      </c>
      <c r="I33" s="19">
        <v>1</v>
      </c>
    </row>
    <row r="34" spans="2:9" ht="15" customHeight="1" thickBot="1" x14ac:dyDescent="0.35">
      <c r="B34" s="22" t="s">
        <v>12</v>
      </c>
      <c r="C34" s="23">
        <f t="shared" ref="C34:H34" si="4">IFERROR(AVERAGE(C4:C32),0)</f>
        <v>102.42857142857143</v>
      </c>
      <c r="D34" s="24">
        <f t="shared" si="4"/>
        <v>87.5</v>
      </c>
      <c r="E34" s="25">
        <f t="shared" si="4"/>
        <v>0</v>
      </c>
      <c r="F34" s="24">
        <f t="shared" si="4"/>
        <v>14.928571428571429</v>
      </c>
      <c r="G34" s="25">
        <f t="shared" si="4"/>
        <v>0</v>
      </c>
      <c r="H34" s="24">
        <f t="shared" si="4"/>
        <v>2.3214285714285716</v>
      </c>
      <c r="I34" s="26">
        <f>IFERROR(AVERAGE(I4:I30,I31:I33),0)</f>
        <v>0.98206896551724132</v>
      </c>
    </row>
    <row r="35" spans="2:9" ht="15" customHeight="1" thickBot="1" x14ac:dyDescent="0.35">
      <c r="B35" s="27" t="s">
        <v>13</v>
      </c>
      <c r="C35" s="28">
        <f t="shared" ref="C35:H35" si="5">SUM(C4:C32)</f>
        <v>2868</v>
      </c>
      <c r="D35" s="28">
        <f>SUM(D4:D32)</f>
        <v>2450</v>
      </c>
      <c r="E35" s="30">
        <v>21.94</v>
      </c>
      <c r="F35" s="28">
        <f t="shared" si="5"/>
        <v>418</v>
      </c>
      <c r="G35" s="30">
        <v>7.06</v>
      </c>
      <c r="H35" s="29">
        <f t="shared" si="5"/>
        <v>65</v>
      </c>
      <c r="I35" s="30">
        <f>SUM(I4:I30,I31:I33)</f>
        <v>28.479999999999997</v>
      </c>
    </row>
  </sheetData>
  <mergeCells count="1">
    <mergeCell ref="B2:I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CFFED-1129-4303-B4DE-81CB44358646}">
  <sheetPr codeName="Planilha2"/>
  <dimension ref="A1:P35"/>
  <sheetViews>
    <sheetView showGridLines="0" topLeftCell="A13" zoomScaleNormal="100" workbookViewId="0">
      <selection activeCell="G4" sqref="G4"/>
    </sheetView>
  </sheetViews>
  <sheetFormatPr defaultRowHeight="14.4" x14ac:dyDescent="0.3"/>
  <cols>
    <col min="1" max="1" width="3.6640625" style="1" customWidth="1"/>
    <col min="2" max="2" width="7.109375" style="3" bestFit="1" customWidth="1"/>
    <col min="3" max="3" width="7" style="8" bestFit="1" customWidth="1"/>
    <col min="4" max="4" width="9.44140625" style="8" bestFit="1" customWidth="1"/>
    <col min="5" max="5" width="7" style="9" bestFit="1" customWidth="1"/>
    <col min="6" max="6" width="10.44140625" style="8" bestFit="1" customWidth="1"/>
    <col min="7" max="7" width="7.33203125" style="9" customWidth="1"/>
    <col min="8" max="11" width="7.33203125" style="8" hidden="1" customWidth="1"/>
    <col min="12" max="12" width="13.44140625" style="8" hidden="1" customWidth="1"/>
    <col min="13" max="13" width="11.6640625" style="8" hidden="1" customWidth="1"/>
    <col min="14" max="14" width="31" style="8" bestFit="1" customWidth="1"/>
    <col min="15" max="15" width="11" style="9" customWidth="1"/>
    <col min="16" max="16" width="9.109375" style="1"/>
  </cols>
  <sheetData>
    <row r="1" spans="1:16" ht="15" thickBot="1" x14ac:dyDescent="0.35"/>
    <row r="2" spans="1:16" ht="15" thickBot="1" x14ac:dyDescent="0.35">
      <c r="A2" s="3"/>
      <c r="B2" s="57" t="s">
        <v>11</v>
      </c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9"/>
      <c r="P2" s="2"/>
    </row>
    <row r="3" spans="1:16" ht="15" thickBot="1" x14ac:dyDescent="0.35">
      <c r="A3" s="4"/>
      <c r="B3" s="10" t="s">
        <v>10</v>
      </c>
      <c r="C3" s="5" t="s">
        <v>1</v>
      </c>
      <c r="D3" s="5" t="s">
        <v>2</v>
      </c>
      <c r="E3" s="6" t="s">
        <v>3</v>
      </c>
      <c r="F3" s="5" t="s">
        <v>4</v>
      </c>
      <c r="G3" s="6" t="s">
        <v>3</v>
      </c>
      <c r="H3" s="5" t="s">
        <v>5</v>
      </c>
      <c r="I3" s="5" t="s">
        <v>3</v>
      </c>
      <c r="J3" s="5" t="s">
        <v>6</v>
      </c>
      <c r="K3" s="5" t="s">
        <v>3</v>
      </c>
      <c r="L3" s="5" t="s">
        <v>7</v>
      </c>
      <c r="M3" s="5" t="s">
        <v>8</v>
      </c>
      <c r="N3" s="5" t="s">
        <v>9</v>
      </c>
      <c r="O3" s="7" t="s">
        <v>0</v>
      </c>
      <c r="P3" s="2"/>
    </row>
    <row r="4" spans="1:16" x14ac:dyDescent="0.3">
      <c r="A4" s="8"/>
      <c r="B4" s="12">
        <v>44713</v>
      </c>
      <c r="C4" s="13">
        <v>108</v>
      </c>
      <c r="D4" s="13">
        <v>100</v>
      </c>
      <c r="E4" s="18">
        <f t="shared" ref="E4:E6" si="0">D4/C4</f>
        <v>0.92592592592592593</v>
      </c>
      <c r="F4" s="13">
        <v>8</v>
      </c>
      <c r="G4" s="18">
        <f t="shared" ref="G4:G7" si="1">F4/C4</f>
        <v>7.407407407407407E-2</v>
      </c>
      <c r="H4" s="13"/>
      <c r="I4" s="31"/>
      <c r="J4" s="13"/>
      <c r="K4" s="31"/>
      <c r="L4" s="32"/>
      <c r="M4" s="32"/>
      <c r="N4" s="13">
        <v>0</v>
      </c>
      <c r="O4" s="19">
        <v>1</v>
      </c>
    </row>
    <row r="5" spans="1:16" x14ac:dyDescent="0.3">
      <c r="A5" s="8"/>
      <c r="B5" s="12">
        <v>44714</v>
      </c>
      <c r="C5" s="17">
        <v>68</v>
      </c>
      <c r="D5" s="17">
        <v>62</v>
      </c>
      <c r="E5" s="18">
        <f t="shared" si="0"/>
        <v>0.91176470588235292</v>
      </c>
      <c r="F5" s="17">
        <v>6</v>
      </c>
      <c r="G5" s="18">
        <f t="shared" si="1"/>
        <v>8.8235294117647065E-2</v>
      </c>
      <c r="H5" s="17"/>
      <c r="I5" s="33"/>
      <c r="J5" s="17"/>
      <c r="K5" s="33"/>
      <c r="L5" s="34"/>
      <c r="M5" s="34"/>
      <c r="N5" s="17">
        <v>0</v>
      </c>
      <c r="O5" s="19">
        <v>1</v>
      </c>
    </row>
    <row r="6" spans="1:16" x14ac:dyDescent="0.3">
      <c r="A6" s="8"/>
      <c r="B6" s="12">
        <v>44715</v>
      </c>
      <c r="C6" s="17">
        <v>94</v>
      </c>
      <c r="D6" s="17">
        <v>85</v>
      </c>
      <c r="E6" s="18">
        <f t="shared" si="0"/>
        <v>0.9042553191489362</v>
      </c>
      <c r="F6" s="17">
        <v>9</v>
      </c>
      <c r="G6" s="18">
        <f t="shared" si="1"/>
        <v>9.5744680851063829E-2</v>
      </c>
      <c r="H6" s="17"/>
      <c r="I6" s="33"/>
      <c r="J6" s="17"/>
      <c r="K6" s="33"/>
      <c r="L6" s="34"/>
      <c r="M6" s="34"/>
      <c r="N6" s="17">
        <v>2</v>
      </c>
      <c r="O6" s="19">
        <v>0.98</v>
      </c>
    </row>
    <row r="7" spans="1:16" x14ac:dyDescent="0.3">
      <c r="A7" s="8"/>
      <c r="B7" s="12">
        <v>44716</v>
      </c>
      <c r="C7" s="17">
        <v>46</v>
      </c>
      <c r="D7" s="17">
        <v>19</v>
      </c>
      <c r="E7" s="18">
        <f>D7/C7</f>
        <v>0.41304347826086957</v>
      </c>
      <c r="F7" s="17">
        <v>27</v>
      </c>
      <c r="G7" s="18">
        <f t="shared" si="1"/>
        <v>0.58695652173913049</v>
      </c>
      <c r="H7" s="17"/>
      <c r="I7" s="33"/>
      <c r="J7" s="17"/>
      <c r="K7" s="33"/>
      <c r="L7" s="34"/>
      <c r="M7" s="34"/>
      <c r="N7" s="17">
        <v>0</v>
      </c>
      <c r="O7" s="19">
        <v>1</v>
      </c>
    </row>
    <row r="8" spans="1:16" x14ac:dyDescent="0.3">
      <c r="A8" s="8"/>
      <c r="B8" s="60" t="s">
        <v>14</v>
      </c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2"/>
    </row>
    <row r="9" spans="1:16" x14ac:dyDescent="0.3">
      <c r="A9" s="8"/>
      <c r="B9" s="12">
        <v>44718</v>
      </c>
      <c r="C9" s="17">
        <v>112</v>
      </c>
      <c r="D9" s="17">
        <v>101</v>
      </c>
      <c r="E9" s="18">
        <f>D9/C9</f>
        <v>0.9017857142857143</v>
      </c>
      <c r="F9" s="17">
        <v>11</v>
      </c>
      <c r="G9" s="18">
        <f>F9/C9</f>
        <v>9.8214285714285712E-2</v>
      </c>
      <c r="H9" s="17"/>
      <c r="I9" s="33"/>
      <c r="J9" s="17"/>
      <c r="K9" s="33"/>
      <c r="L9" s="34"/>
      <c r="M9" s="34"/>
      <c r="N9" s="17">
        <v>1</v>
      </c>
      <c r="O9" s="19">
        <v>0.99</v>
      </c>
    </row>
    <row r="10" spans="1:16" x14ac:dyDescent="0.3">
      <c r="A10" s="8"/>
      <c r="B10" s="12">
        <v>44719</v>
      </c>
      <c r="C10" s="17">
        <v>112</v>
      </c>
      <c r="D10" s="17">
        <v>102</v>
      </c>
      <c r="E10" s="18">
        <f>D10/C10</f>
        <v>0.9107142857142857</v>
      </c>
      <c r="F10" s="17">
        <v>10</v>
      </c>
      <c r="G10" s="18">
        <f>F10/C10</f>
        <v>8.9285714285714288E-2</v>
      </c>
      <c r="H10" s="17"/>
      <c r="I10" s="33"/>
      <c r="J10" s="17"/>
      <c r="K10" s="33"/>
      <c r="L10" s="34"/>
      <c r="M10" s="34"/>
      <c r="N10" s="17">
        <v>0</v>
      </c>
      <c r="O10" s="19">
        <v>1</v>
      </c>
    </row>
    <row r="11" spans="1:16" x14ac:dyDescent="0.3">
      <c r="A11" s="8"/>
      <c r="B11" s="12">
        <v>44720</v>
      </c>
      <c r="C11" s="17">
        <v>131</v>
      </c>
      <c r="D11" s="17">
        <v>109</v>
      </c>
      <c r="E11" s="18">
        <f t="shared" ref="E11:E27" si="2">D11/C11</f>
        <v>0.83206106870229013</v>
      </c>
      <c r="F11" s="17">
        <v>22</v>
      </c>
      <c r="G11" s="18">
        <f t="shared" ref="G11:G27" si="3">F11/C11</f>
        <v>0.16793893129770993</v>
      </c>
      <c r="H11" s="17"/>
      <c r="I11" s="33"/>
      <c r="J11" s="17"/>
      <c r="K11" s="33"/>
      <c r="L11" s="34"/>
      <c r="M11" s="34"/>
      <c r="N11" s="17">
        <v>0</v>
      </c>
      <c r="O11" s="19">
        <v>1</v>
      </c>
    </row>
    <row r="12" spans="1:16" x14ac:dyDescent="0.3">
      <c r="A12" s="8"/>
      <c r="B12" s="12">
        <v>44721</v>
      </c>
      <c r="C12" s="17">
        <v>123</v>
      </c>
      <c r="D12" s="17">
        <v>112</v>
      </c>
      <c r="E12" s="18">
        <f t="shared" si="2"/>
        <v>0.91056910569105687</v>
      </c>
      <c r="F12" s="17">
        <v>11</v>
      </c>
      <c r="G12" s="18">
        <f t="shared" si="3"/>
        <v>8.943089430894309E-2</v>
      </c>
      <c r="H12" s="17"/>
      <c r="I12" s="33"/>
      <c r="J12" s="17"/>
      <c r="K12" s="33"/>
      <c r="L12" s="34"/>
      <c r="M12" s="34"/>
      <c r="N12" s="17">
        <v>0</v>
      </c>
      <c r="O12" s="19">
        <v>1</v>
      </c>
    </row>
    <row r="13" spans="1:16" x14ac:dyDescent="0.3">
      <c r="A13" s="8"/>
      <c r="B13" s="12">
        <v>44722</v>
      </c>
      <c r="C13" s="17">
        <v>93</v>
      </c>
      <c r="D13" s="17">
        <v>88</v>
      </c>
      <c r="E13" s="18">
        <f t="shared" si="2"/>
        <v>0.94623655913978499</v>
      </c>
      <c r="F13" s="17">
        <v>5</v>
      </c>
      <c r="G13" s="18">
        <f t="shared" si="3"/>
        <v>5.3763440860215055E-2</v>
      </c>
      <c r="H13" s="17"/>
      <c r="I13" s="33"/>
      <c r="J13" s="17"/>
      <c r="K13" s="33"/>
      <c r="L13" s="34"/>
      <c r="M13" s="34"/>
      <c r="N13" s="17">
        <v>0</v>
      </c>
      <c r="O13" s="19">
        <v>1</v>
      </c>
    </row>
    <row r="14" spans="1:16" x14ac:dyDescent="0.3">
      <c r="A14" s="8"/>
      <c r="B14" s="12">
        <v>44723</v>
      </c>
      <c r="C14" s="17">
        <v>55</v>
      </c>
      <c r="D14" s="17">
        <v>30</v>
      </c>
      <c r="E14" s="18">
        <f t="shared" si="2"/>
        <v>0.54545454545454541</v>
      </c>
      <c r="F14" s="17">
        <v>25</v>
      </c>
      <c r="G14" s="18">
        <f t="shared" si="3"/>
        <v>0.45454545454545453</v>
      </c>
      <c r="H14" s="17"/>
      <c r="I14" s="33"/>
      <c r="J14" s="17"/>
      <c r="K14" s="33"/>
      <c r="L14" s="34"/>
      <c r="M14" s="34"/>
      <c r="N14" s="17">
        <v>0</v>
      </c>
      <c r="O14" s="19">
        <v>1</v>
      </c>
    </row>
    <row r="15" spans="1:16" x14ac:dyDescent="0.3">
      <c r="A15" s="8"/>
      <c r="B15" s="60" t="s">
        <v>14</v>
      </c>
      <c r="C15" s="61"/>
      <c r="D15" s="61"/>
      <c r="E15" s="61"/>
      <c r="F15" s="61"/>
      <c r="G15" s="61"/>
      <c r="H15" s="61"/>
      <c r="I15" s="61"/>
      <c r="J15" s="61"/>
      <c r="K15" s="61"/>
      <c r="L15" s="61"/>
      <c r="M15" s="61"/>
      <c r="N15" s="61"/>
      <c r="O15" s="62"/>
    </row>
    <row r="16" spans="1:16" x14ac:dyDescent="0.3">
      <c r="A16" s="8"/>
      <c r="B16" s="12">
        <v>44725</v>
      </c>
      <c r="C16" s="17">
        <v>112</v>
      </c>
      <c r="D16" s="17">
        <v>104</v>
      </c>
      <c r="E16" s="18">
        <f t="shared" si="2"/>
        <v>0.9285714285714286</v>
      </c>
      <c r="F16" s="17">
        <v>8</v>
      </c>
      <c r="G16" s="18">
        <f t="shared" si="3"/>
        <v>7.1428571428571425E-2</v>
      </c>
      <c r="H16" s="17"/>
      <c r="I16" s="33"/>
      <c r="J16" s="17"/>
      <c r="K16" s="33"/>
      <c r="L16" s="34"/>
      <c r="M16" s="34"/>
      <c r="N16" s="17">
        <v>1</v>
      </c>
      <c r="O16" s="19">
        <v>0.99</v>
      </c>
    </row>
    <row r="17" spans="1:15" x14ac:dyDescent="0.3">
      <c r="A17" s="8"/>
      <c r="B17" s="12">
        <v>44726</v>
      </c>
      <c r="C17" s="17">
        <v>109</v>
      </c>
      <c r="D17" s="17">
        <v>100</v>
      </c>
      <c r="E17" s="18">
        <f t="shared" si="2"/>
        <v>0.91743119266055051</v>
      </c>
      <c r="F17" s="17">
        <v>9</v>
      </c>
      <c r="G17" s="18">
        <f t="shared" si="3"/>
        <v>8.2568807339449546E-2</v>
      </c>
      <c r="H17" s="17"/>
      <c r="I17" s="33"/>
      <c r="J17" s="17"/>
      <c r="K17" s="33"/>
      <c r="L17" s="34"/>
      <c r="M17" s="34"/>
      <c r="N17" s="17">
        <v>1</v>
      </c>
      <c r="O17" s="19">
        <v>0.99</v>
      </c>
    </row>
    <row r="18" spans="1:15" x14ac:dyDescent="0.3">
      <c r="A18" s="8"/>
      <c r="B18" s="12">
        <v>44727</v>
      </c>
      <c r="C18" s="17">
        <v>38</v>
      </c>
      <c r="D18" s="17">
        <v>18</v>
      </c>
      <c r="E18" s="18">
        <f t="shared" si="2"/>
        <v>0.47368421052631576</v>
      </c>
      <c r="F18" s="17">
        <v>20</v>
      </c>
      <c r="G18" s="18">
        <f t="shared" si="3"/>
        <v>0.52631578947368418</v>
      </c>
      <c r="H18" s="17"/>
      <c r="I18" s="33"/>
      <c r="J18" s="17"/>
      <c r="K18" s="33"/>
      <c r="L18" s="34"/>
      <c r="M18" s="34"/>
      <c r="N18" s="17">
        <v>0</v>
      </c>
      <c r="O18" s="19">
        <v>1</v>
      </c>
    </row>
    <row r="19" spans="1:15" x14ac:dyDescent="0.3">
      <c r="A19" s="8"/>
      <c r="B19" s="12">
        <v>44728</v>
      </c>
      <c r="C19" s="17">
        <v>60</v>
      </c>
      <c r="D19" s="17">
        <v>0</v>
      </c>
      <c r="E19" s="18">
        <f t="shared" si="2"/>
        <v>0</v>
      </c>
      <c r="F19" s="17">
        <v>60</v>
      </c>
      <c r="G19" s="18">
        <f t="shared" si="3"/>
        <v>1</v>
      </c>
      <c r="H19" s="17"/>
      <c r="I19" s="33"/>
      <c r="J19" s="17"/>
      <c r="K19" s="33"/>
      <c r="L19" s="34"/>
      <c r="M19" s="34"/>
      <c r="N19" s="17">
        <v>0</v>
      </c>
      <c r="O19" s="19">
        <v>1</v>
      </c>
    </row>
    <row r="20" spans="1:15" x14ac:dyDescent="0.3">
      <c r="A20" s="8"/>
      <c r="B20" s="12">
        <v>44729</v>
      </c>
      <c r="C20" s="17">
        <v>95</v>
      </c>
      <c r="D20" s="17">
        <v>91</v>
      </c>
      <c r="E20" s="18">
        <f t="shared" si="2"/>
        <v>0.95789473684210524</v>
      </c>
      <c r="F20" s="17">
        <v>4</v>
      </c>
      <c r="G20" s="18">
        <f t="shared" si="3"/>
        <v>4.2105263157894736E-2</v>
      </c>
      <c r="H20" s="17"/>
      <c r="I20" s="33"/>
      <c r="J20" s="17"/>
      <c r="K20" s="33"/>
      <c r="L20" s="34"/>
      <c r="M20" s="34"/>
      <c r="N20" s="17">
        <v>0</v>
      </c>
      <c r="O20" s="19">
        <v>1</v>
      </c>
    </row>
    <row r="21" spans="1:15" x14ac:dyDescent="0.3">
      <c r="A21" s="8"/>
      <c r="B21" s="12">
        <v>44730</v>
      </c>
      <c r="C21" s="17">
        <v>40</v>
      </c>
      <c r="D21" s="17">
        <v>18</v>
      </c>
      <c r="E21" s="18">
        <f t="shared" si="2"/>
        <v>0.45</v>
      </c>
      <c r="F21" s="17">
        <v>22</v>
      </c>
      <c r="G21" s="18">
        <f t="shared" si="3"/>
        <v>0.55000000000000004</v>
      </c>
      <c r="H21" s="17"/>
      <c r="I21" s="33"/>
      <c r="J21" s="17"/>
      <c r="K21" s="33"/>
      <c r="L21" s="34"/>
      <c r="M21" s="34"/>
      <c r="N21" s="17">
        <v>0</v>
      </c>
      <c r="O21" s="19">
        <v>1</v>
      </c>
    </row>
    <row r="22" spans="1:15" x14ac:dyDescent="0.3">
      <c r="A22" s="8"/>
      <c r="B22" s="60" t="s">
        <v>14</v>
      </c>
      <c r="C22" s="61"/>
      <c r="D22" s="61"/>
      <c r="E22" s="61"/>
      <c r="F22" s="61"/>
      <c r="G22" s="61"/>
      <c r="H22" s="61"/>
      <c r="I22" s="61"/>
      <c r="J22" s="61"/>
      <c r="K22" s="61"/>
      <c r="L22" s="61"/>
      <c r="M22" s="61"/>
      <c r="N22" s="61"/>
      <c r="O22" s="62"/>
    </row>
    <row r="23" spans="1:15" x14ac:dyDescent="0.3">
      <c r="A23" s="8"/>
      <c r="B23" s="12">
        <v>44732</v>
      </c>
      <c r="C23" s="17">
        <v>102</v>
      </c>
      <c r="D23" s="17">
        <v>93</v>
      </c>
      <c r="E23" s="18">
        <f t="shared" si="2"/>
        <v>0.91176470588235292</v>
      </c>
      <c r="F23" s="17">
        <v>9</v>
      </c>
      <c r="G23" s="18">
        <f t="shared" si="3"/>
        <v>8.8235294117647065E-2</v>
      </c>
      <c r="H23" s="17"/>
      <c r="I23" s="33"/>
      <c r="J23" s="17"/>
      <c r="K23" s="33"/>
      <c r="L23" s="34"/>
      <c r="M23" s="34"/>
      <c r="N23" s="17">
        <v>2</v>
      </c>
      <c r="O23" s="19">
        <v>0.98</v>
      </c>
    </row>
    <row r="24" spans="1:15" x14ac:dyDescent="0.3">
      <c r="A24" s="8"/>
      <c r="B24" s="12">
        <v>44733</v>
      </c>
      <c r="C24" s="17">
        <v>107</v>
      </c>
      <c r="D24" s="17">
        <v>96</v>
      </c>
      <c r="E24" s="18">
        <f t="shared" si="2"/>
        <v>0.89719626168224298</v>
      </c>
      <c r="F24" s="17">
        <v>11</v>
      </c>
      <c r="G24" s="18">
        <f t="shared" si="3"/>
        <v>0.10280373831775701</v>
      </c>
      <c r="H24" s="17"/>
      <c r="I24" s="33"/>
      <c r="J24" s="17"/>
      <c r="K24" s="33"/>
      <c r="L24" s="34"/>
      <c r="M24" s="34"/>
      <c r="N24" s="17">
        <v>2</v>
      </c>
      <c r="O24" s="19">
        <v>0.99</v>
      </c>
    </row>
    <row r="25" spans="1:15" x14ac:dyDescent="0.3">
      <c r="A25" s="8"/>
      <c r="B25" s="12">
        <v>44734</v>
      </c>
      <c r="C25" s="17">
        <v>75</v>
      </c>
      <c r="D25" s="17">
        <v>72</v>
      </c>
      <c r="E25" s="18">
        <f t="shared" si="2"/>
        <v>0.96</v>
      </c>
      <c r="F25" s="17">
        <v>3</v>
      </c>
      <c r="G25" s="18">
        <f t="shared" si="3"/>
        <v>0.04</v>
      </c>
      <c r="H25" s="17"/>
      <c r="I25" s="33"/>
      <c r="J25" s="17"/>
      <c r="K25" s="33"/>
      <c r="L25" s="34"/>
      <c r="M25" s="34"/>
      <c r="N25" s="17">
        <v>0</v>
      </c>
      <c r="O25" s="19">
        <v>1</v>
      </c>
    </row>
    <row r="26" spans="1:15" x14ac:dyDescent="0.3">
      <c r="A26" s="8"/>
      <c r="B26" s="12">
        <v>44735</v>
      </c>
      <c r="C26" s="17">
        <v>129</v>
      </c>
      <c r="D26" s="17">
        <v>70</v>
      </c>
      <c r="E26" s="18">
        <f t="shared" si="2"/>
        <v>0.54263565891472865</v>
      </c>
      <c r="F26" s="17">
        <v>59</v>
      </c>
      <c r="G26" s="18">
        <f>F26/C26</f>
        <v>0.4573643410852713</v>
      </c>
      <c r="H26" s="17"/>
      <c r="I26" s="33"/>
      <c r="J26" s="17"/>
      <c r="K26" s="33"/>
      <c r="L26" s="34"/>
      <c r="M26" s="34"/>
      <c r="N26" s="17">
        <v>46</v>
      </c>
      <c r="O26" s="19">
        <v>0.78</v>
      </c>
    </row>
    <row r="27" spans="1:15" x14ac:dyDescent="0.3">
      <c r="A27" s="8"/>
      <c r="B27" s="12">
        <v>44736</v>
      </c>
      <c r="C27" s="17">
        <v>85</v>
      </c>
      <c r="D27" s="17">
        <v>74</v>
      </c>
      <c r="E27" s="18">
        <f t="shared" si="2"/>
        <v>0.87058823529411766</v>
      </c>
      <c r="F27" s="17">
        <v>11</v>
      </c>
      <c r="G27" s="18">
        <f t="shared" si="3"/>
        <v>0.12941176470588237</v>
      </c>
      <c r="H27" s="17"/>
      <c r="I27" s="17"/>
      <c r="J27" s="17"/>
      <c r="K27" s="17"/>
      <c r="L27" s="17"/>
      <c r="M27" s="17"/>
      <c r="N27" s="17">
        <v>4</v>
      </c>
      <c r="O27" s="19">
        <v>0.91</v>
      </c>
    </row>
    <row r="28" spans="1:15" x14ac:dyDescent="0.3">
      <c r="B28" s="12">
        <v>44737</v>
      </c>
      <c r="C28" s="17">
        <v>41</v>
      </c>
      <c r="D28" s="17">
        <v>28</v>
      </c>
      <c r="E28" s="18">
        <f>D28/C28</f>
        <v>0.68292682926829273</v>
      </c>
      <c r="F28" s="17">
        <v>13</v>
      </c>
      <c r="G28" s="18">
        <f>F28/C28</f>
        <v>0.31707317073170732</v>
      </c>
      <c r="H28" s="17"/>
      <c r="I28" s="17"/>
      <c r="J28" s="17"/>
      <c r="K28" s="17"/>
      <c r="L28" s="17"/>
      <c r="M28" s="17"/>
      <c r="N28" s="17">
        <v>0</v>
      </c>
      <c r="O28" s="19">
        <v>1</v>
      </c>
    </row>
    <row r="29" spans="1:15" x14ac:dyDescent="0.3">
      <c r="B29" s="60" t="s">
        <v>14</v>
      </c>
      <c r="C29" s="61"/>
      <c r="D29" s="61"/>
      <c r="E29" s="61"/>
      <c r="F29" s="61"/>
      <c r="G29" s="61"/>
      <c r="H29" s="61"/>
      <c r="I29" s="61"/>
      <c r="J29" s="61"/>
      <c r="K29" s="61"/>
      <c r="L29" s="61"/>
      <c r="M29" s="61"/>
      <c r="N29" s="61"/>
      <c r="O29" s="62"/>
    </row>
    <row r="30" spans="1:15" x14ac:dyDescent="0.3">
      <c r="B30" s="12">
        <v>44739</v>
      </c>
      <c r="C30" s="17">
        <v>70</v>
      </c>
      <c r="D30" s="17">
        <v>63</v>
      </c>
      <c r="E30" s="18">
        <f t="shared" ref="E30:E33" si="4">D30/C30</f>
        <v>0.9</v>
      </c>
      <c r="F30" s="17">
        <v>7</v>
      </c>
      <c r="G30" s="18">
        <f>F30/C30</f>
        <v>0.1</v>
      </c>
      <c r="H30" s="17"/>
      <c r="I30" s="17"/>
      <c r="J30" s="17"/>
      <c r="K30" s="17"/>
      <c r="L30" s="17"/>
      <c r="M30" s="17"/>
      <c r="N30" s="17">
        <v>0</v>
      </c>
      <c r="O30" s="19">
        <v>1</v>
      </c>
    </row>
    <row r="31" spans="1:15" x14ac:dyDescent="0.3">
      <c r="B31" s="12">
        <v>44740</v>
      </c>
      <c r="C31" s="17">
        <v>82</v>
      </c>
      <c r="D31" s="17">
        <v>79</v>
      </c>
      <c r="E31" s="18">
        <f t="shared" si="4"/>
        <v>0.96341463414634143</v>
      </c>
      <c r="F31" s="17">
        <v>3</v>
      </c>
      <c r="G31" s="18">
        <f>F31/C31</f>
        <v>3.6585365853658534E-2</v>
      </c>
      <c r="H31" s="17"/>
      <c r="I31" s="17"/>
      <c r="J31" s="17"/>
      <c r="K31" s="17"/>
      <c r="L31" s="17"/>
      <c r="M31" s="17"/>
      <c r="N31" s="17">
        <v>1</v>
      </c>
      <c r="O31" s="19">
        <v>0.99</v>
      </c>
    </row>
    <row r="32" spans="1:15" x14ac:dyDescent="0.3">
      <c r="B32" s="12">
        <v>44741</v>
      </c>
      <c r="C32" s="21">
        <v>92</v>
      </c>
      <c r="D32" s="21">
        <v>85</v>
      </c>
      <c r="E32" s="18">
        <f t="shared" si="4"/>
        <v>0.92391304347826086</v>
      </c>
      <c r="F32" s="21">
        <v>7</v>
      </c>
      <c r="G32" s="18">
        <f t="shared" ref="G32:G33" si="5">F32/C32</f>
        <v>7.6086956521739135E-2</v>
      </c>
      <c r="H32" s="21"/>
      <c r="I32" s="21"/>
      <c r="J32" s="21"/>
      <c r="K32" s="21"/>
      <c r="L32" s="21"/>
      <c r="M32" s="21"/>
      <c r="N32" s="21">
        <v>0</v>
      </c>
      <c r="O32" s="35">
        <v>1</v>
      </c>
    </row>
    <row r="33" spans="2:15" ht="15" thickBot="1" x14ac:dyDescent="0.35">
      <c r="B33" s="12">
        <v>44742</v>
      </c>
      <c r="C33" s="21">
        <v>98</v>
      </c>
      <c r="D33" s="21">
        <v>92</v>
      </c>
      <c r="E33" s="18">
        <f t="shared" si="4"/>
        <v>0.93877551020408168</v>
      </c>
      <c r="F33" s="21">
        <v>6</v>
      </c>
      <c r="G33" s="18">
        <f t="shared" si="5"/>
        <v>6.1224489795918366E-2</v>
      </c>
      <c r="H33" s="21"/>
      <c r="I33" s="21"/>
      <c r="J33" s="21"/>
      <c r="K33" s="21"/>
      <c r="L33" s="21"/>
      <c r="M33" s="21"/>
      <c r="N33" s="21">
        <v>0</v>
      </c>
      <c r="O33" s="35">
        <v>1</v>
      </c>
    </row>
    <row r="34" spans="2:15" ht="15" thickBot="1" x14ac:dyDescent="0.35">
      <c r="B34" s="46" t="s">
        <v>12</v>
      </c>
      <c r="C34" s="47">
        <f>IFERROR(AVERAGE(C4:C33),0)</f>
        <v>87.57692307692308</v>
      </c>
      <c r="D34" s="48">
        <f>IFERROR(AVERAGE(D4:D33),0)</f>
        <v>72.730769230769226</v>
      </c>
      <c r="E34" s="49">
        <f>IFERROR(AVERAGE(E4:E33),0)</f>
        <v>0.7892541213721761</v>
      </c>
      <c r="F34" s="47">
        <f>IFERROR(AVERAGE(F4:F33),0)</f>
        <v>14.846153846153847</v>
      </c>
      <c r="G34" s="49">
        <f>IFERROR(AVERAGE(G4:M33),0)</f>
        <v>0.21074587862782382</v>
      </c>
      <c r="H34" s="44">
        <f t="shared" ref="H34:M34" si="6">IFERROR(AVERAGE(H4:H33),0)</f>
        <v>0</v>
      </c>
      <c r="I34" s="23">
        <f t="shared" si="6"/>
        <v>0</v>
      </c>
      <c r="J34" s="23">
        <f t="shared" si="6"/>
        <v>0</v>
      </c>
      <c r="K34" s="23">
        <f t="shared" si="6"/>
        <v>0</v>
      </c>
      <c r="L34" s="23">
        <f t="shared" si="6"/>
        <v>0</v>
      </c>
      <c r="M34" s="39">
        <f t="shared" si="6"/>
        <v>0</v>
      </c>
      <c r="N34" s="47">
        <f>IFERROR(AVERAGE(N4:N33),0)</f>
        <v>2.3076923076923075</v>
      </c>
      <c r="O34" s="42">
        <f>IFERROR(AVERAGE(O4:O33),0)</f>
        <v>0.98461538461538456</v>
      </c>
    </row>
    <row r="35" spans="2:15" ht="15" thickBot="1" x14ac:dyDescent="0.35">
      <c r="B35" s="46" t="s">
        <v>13</v>
      </c>
      <c r="C35" s="45">
        <f>SUM(C4:C33)</f>
        <v>2277</v>
      </c>
      <c r="D35" s="43">
        <f>SUM(D4:D33)</f>
        <v>1891</v>
      </c>
      <c r="E35" s="40">
        <f>D35/C35</f>
        <v>0.83047870004391744</v>
      </c>
      <c r="F35" s="43">
        <f>SUM(F4:F33)</f>
        <v>386</v>
      </c>
      <c r="G35" s="40">
        <f>F35/C35</f>
        <v>0.16952129995608256</v>
      </c>
      <c r="H35" s="29">
        <f t="shared" ref="H35:M35" si="7">SUM(H4:H33)</f>
        <v>0</v>
      </c>
      <c r="I35" s="36">
        <f t="shared" si="7"/>
        <v>0</v>
      </c>
      <c r="J35" s="28">
        <f t="shared" si="7"/>
        <v>0</v>
      </c>
      <c r="K35" s="37">
        <f t="shared" si="7"/>
        <v>0</v>
      </c>
      <c r="L35" s="38">
        <f t="shared" si="7"/>
        <v>0</v>
      </c>
      <c r="M35" s="41">
        <f t="shared" si="7"/>
        <v>0</v>
      </c>
      <c r="N35" s="43">
        <f>SUM(N4:N33)</f>
        <v>60</v>
      </c>
      <c r="O35" s="50">
        <f>1-(N35/C35)</f>
        <v>0.97364953886693018</v>
      </c>
    </row>
  </sheetData>
  <mergeCells count="5">
    <mergeCell ref="B2:O2"/>
    <mergeCell ref="B8:O8"/>
    <mergeCell ref="B15:O15"/>
    <mergeCell ref="B22:O22"/>
    <mergeCell ref="B29:O29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80246-28F2-4209-B604-F0D95BAD6896}">
  <sheetPr codeName="Planilha3"/>
  <dimension ref="A1:AP40"/>
  <sheetViews>
    <sheetView showGridLines="0" tabSelected="1" zoomScale="85" zoomScaleNormal="85" workbookViewId="0">
      <selection activeCell="U40" sqref="U40"/>
    </sheetView>
  </sheetViews>
  <sheetFormatPr defaultRowHeight="14.4" x14ac:dyDescent="0.3"/>
  <cols>
    <col min="1" max="1" width="3.6640625" style="1" customWidth="1"/>
    <col min="2" max="2" width="7.109375" style="3" bestFit="1" customWidth="1"/>
    <col min="3" max="3" width="7" style="8" bestFit="1" customWidth="1"/>
    <col min="4" max="4" width="9.44140625" style="8" bestFit="1" customWidth="1"/>
    <col min="5" max="5" width="7" style="9" bestFit="1" customWidth="1"/>
    <col min="6" max="6" width="10.44140625" style="8" bestFit="1" customWidth="1"/>
    <col min="7" max="7" width="7.33203125" style="9" customWidth="1"/>
    <col min="8" max="11" width="7.33203125" style="8" hidden="1" customWidth="1"/>
    <col min="12" max="12" width="13.44140625" style="8" hidden="1" customWidth="1"/>
    <col min="13" max="13" width="11.6640625" style="8" hidden="1" customWidth="1"/>
    <col min="14" max="14" width="31" style="8" bestFit="1" customWidth="1"/>
    <col min="15" max="15" width="11" style="9" customWidth="1"/>
    <col min="16" max="16" width="9.109375" style="1"/>
  </cols>
  <sheetData>
    <row r="1" spans="1:42" ht="15" thickBot="1" x14ac:dyDescent="0.35"/>
    <row r="2" spans="1:42" ht="15" thickBot="1" x14ac:dyDescent="0.35">
      <c r="A2" s="3"/>
      <c r="B2" s="57" t="s">
        <v>11</v>
      </c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9"/>
      <c r="P2" s="2"/>
    </row>
    <row r="3" spans="1:42" ht="15" thickBot="1" x14ac:dyDescent="0.35">
      <c r="A3" s="4"/>
      <c r="B3" s="10" t="s">
        <v>10</v>
      </c>
      <c r="C3" s="5" t="s">
        <v>1</v>
      </c>
      <c r="D3" s="5" t="s">
        <v>2</v>
      </c>
      <c r="E3" s="6" t="s">
        <v>3</v>
      </c>
      <c r="F3" s="5" t="s">
        <v>4</v>
      </c>
      <c r="G3" s="6" t="s">
        <v>3</v>
      </c>
      <c r="H3" s="5" t="s">
        <v>5</v>
      </c>
      <c r="I3" s="5" t="s">
        <v>3</v>
      </c>
      <c r="J3" s="5" t="s">
        <v>6</v>
      </c>
      <c r="K3" s="5" t="s">
        <v>3</v>
      </c>
      <c r="L3" s="5" t="s">
        <v>7</v>
      </c>
      <c r="M3" s="5" t="s">
        <v>8</v>
      </c>
      <c r="N3" s="5" t="s">
        <v>9</v>
      </c>
      <c r="O3" s="7" t="s">
        <v>0</v>
      </c>
      <c r="P3" s="2"/>
    </row>
    <row r="4" spans="1:42" hidden="1" x14ac:dyDescent="0.3">
      <c r="A4" s="8"/>
      <c r="B4" s="12"/>
      <c r="C4" s="13"/>
      <c r="D4" s="13"/>
      <c r="E4" s="18"/>
      <c r="F4" s="13"/>
      <c r="G4" s="18"/>
      <c r="H4" s="13"/>
      <c r="I4" s="31"/>
      <c r="J4" s="13"/>
      <c r="K4" s="31"/>
      <c r="L4" s="32"/>
      <c r="M4" s="32"/>
      <c r="N4" s="13"/>
      <c r="O4" s="19"/>
    </row>
    <row r="5" spans="1:42" hidden="1" x14ac:dyDescent="0.3">
      <c r="A5" s="8"/>
      <c r="B5" s="12"/>
      <c r="C5" s="17"/>
      <c r="D5" s="17"/>
      <c r="E5" s="18"/>
      <c r="F5" s="17"/>
      <c r="G5" s="18"/>
      <c r="H5" s="17"/>
      <c r="I5" s="33"/>
      <c r="J5" s="17"/>
      <c r="K5" s="33"/>
      <c r="L5" s="34"/>
      <c r="M5" s="34"/>
      <c r="N5" s="17"/>
      <c r="O5" s="19"/>
    </row>
    <row r="6" spans="1:42" hidden="1" x14ac:dyDescent="0.3">
      <c r="A6" s="8"/>
      <c r="B6" s="60" t="s">
        <v>14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2"/>
    </row>
    <row r="7" spans="1:42" x14ac:dyDescent="0.3">
      <c r="A7" s="8" t="s">
        <v>16</v>
      </c>
      <c r="B7" s="12">
        <v>44837</v>
      </c>
      <c r="C7" s="17"/>
      <c r="D7" s="17"/>
      <c r="E7" s="18"/>
      <c r="F7" s="17"/>
      <c r="G7" s="18"/>
      <c r="H7" s="17"/>
      <c r="I7" s="33"/>
      <c r="J7" s="17"/>
      <c r="K7" s="33"/>
      <c r="L7" s="34"/>
      <c r="M7" s="34"/>
      <c r="N7" s="17"/>
      <c r="O7" s="19"/>
      <c r="P7" s="55"/>
      <c r="Q7" s="54"/>
      <c r="T7" s="51"/>
      <c r="V7" s="51"/>
      <c r="X7" s="51"/>
      <c r="Z7" s="51"/>
      <c r="AA7" s="52"/>
      <c r="AB7" s="52"/>
      <c r="AD7" s="51"/>
    </row>
    <row r="8" spans="1:42" x14ac:dyDescent="0.3">
      <c r="A8" s="8" t="s">
        <v>17</v>
      </c>
      <c r="B8" s="12">
        <v>44838</v>
      </c>
      <c r="C8" s="17"/>
      <c r="D8" s="17"/>
      <c r="E8" s="18"/>
      <c r="F8" s="17"/>
      <c r="G8" s="18"/>
      <c r="H8" s="17"/>
      <c r="I8" s="33"/>
      <c r="J8" s="17"/>
      <c r="K8" s="33"/>
      <c r="L8" s="34"/>
      <c r="M8" s="34"/>
      <c r="N8" s="17"/>
      <c r="O8" s="19"/>
    </row>
    <row r="9" spans="1:42" x14ac:dyDescent="0.3">
      <c r="A9" s="8" t="s">
        <v>18</v>
      </c>
      <c r="B9" s="12">
        <v>44839</v>
      </c>
      <c r="C9" s="17"/>
      <c r="D9" s="17"/>
      <c r="E9" s="18"/>
      <c r="F9" s="17"/>
      <c r="G9" s="18"/>
      <c r="H9" s="17"/>
      <c r="I9" s="33"/>
      <c r="J9" s="17"/>
      <c r="K9" s="33"/>
      <c r="L9" s="34"/>
      <c r="M9" s="34"/>
      <c r="N9" s="17"/>
      <c r="O9" s="19"/>
      <c r="P9" s="53"/>
      <c r="Q9" t="s">
        <v>15</v>
      </c>
      <c r="R9" s="17">
        <v>61</v>
      </c>
      <c r="S9" s="17" t="s">
        <v>22</v>
      </c>
      <c r="T9" s="18" t="s">
        <v>23</v>
      </c>
      <c r="U9" s="33">
        <v>0.03</v>
      </c>
      <c r="V9" s="18">
        <v>85</v>
      </c>
      <c r="W9" s="33">
        <v>0.27</v>
      </c>
      <c r="X9" s="33">
        <v>551</v>
      </c>
      <c r="Y9" s="33">
        <v>9</v>
      </c>
      <c r="Z9" s="33">
        <v>0.02</v>
      </c>
      <c r="AA9" s="34" t="s">
        <v>24</v>
      </c>
      <c r="AB9" s="34" t="s">
        <v>25</v>
      </c>
      <c r="AC9" s="56">
        <v>3</v>
      </c>
      <c r="AD9" s="19" t="s">
        <v>26</v>
      </c>
      <c r="AE9" s="51"/>
      <c r="AO9">
        <v>3</v>
      </c>
      <c r="AP9">
        <v>0.92</v>
      </c>
    </row>
    <row r="10" spans="1:42" x14ac:dyDescent="0.3">
      <c r="A10" s="8" t="s">
        <v>19</v>
      </c>
      <c r="B10" s="12">
        <v>44840</v>
      </c>
      <c r="C10" s="17"/>
      <c r="D10" s="17"/>
      <c r="E10" s="18"/>
      <c r="F10" s="17"/>
      <c r="G10" s="18"/>
      <c r="H10" s="17"/>
      <c r="I10" s="33"/>
      <c r="J10" s="17"/>
      <c r="K10" s="33"/>
      <c r="L10" s="34"/>
      <c r="M10" s="34"/>
      <c r="N10" s="17"/>
      <c r="O10" s="19"/>
      <c r="T10" s="51"/>
      <c r="V10" s="51"/>
      <c r="X10" s="51"/>
      <c r="Z10" s="51"/>
      <c r="AA10" s="52"/>
      <c r="AB10" s="52"/>
      <c r="AD10" s="51"/>
    </row>
    <row r="11" spans="1:42" x14ac:dyDescent="0.3">
      <c r="A11" s="8" t="s">
        <v>20</v>
      </c>
      <c r="B11" s="12">
        <v>44841</v>
      </c>
      <c r="C11" s="17"/>
      <c r="D11" s="17"/>
      <c r="E11" s="18"/>
      <c r="F11" s="17"/>
      <c r="G11" s="18"/>
      <c r="H11" s="17"/>
      <c r="I11" s="33"/>
      <c r="J11" s="17"/>
      <c r="K11" s="33"/>
      <c r="L11" s="34"/>
      <c r="M11" s="34"/>
      <c r="N11" s="17"/>
      <c r="O11" s="19"/>
      <c r="T11" s="51"/>
      <c r="V11" s="51"/>
      <c r="X11" s="51"/>
      <c r="Z11" s="51"/>
      <c r="AA11" s="52"/>
      <c r="AB11" s="52"/>
      <c r="AD11" s="51"/>
    </row>
    <row r="12" spans="1:42" x14ac:dyDescent="0.3">
      <c r="A12" s="8" t="s">
        <v>21</v>
      </c>
      <c r="B12" s="12">
        <v>44842</v>
      </c>
      <c r="C12" s="17"/>
      <c r="D12" s="17"/>
      <c r="E12" s="18"/>
      <c r="F12" s="17"/>
      <c r="G12" s="18"/>
      <c r="H12" s="17"/>
      <c r="I12" s="33"/>
      <c r="J12" s="17"/>
      <c r="K12" s="33"/>
      <c r="L12" s="34"/>
      <c r="M12" s="34"/>
      <c r="N12" s="17"/>
      <c r="O12" s="19"/>
    </row>
    <row r="13" spans="1:42" hidden="1" x14ac:dyDescent="0.3">
      <c r="A13" s="8"/>
      <c r="B13" s="60" t="s">
        <v>14</v>
      </c>
      <c r="C13" s="61"/>
      <c r="D13" s="61"/>
      <c r="E13" s="61"/>
      <c r="F13" s="61"/>
      <c r="G13" s="61"/>
      <c r="H13" s="61"/>
      <c r="I13" s="61"/>
      <c r="J13" s="61"/>
      <c r="K13" s="61"/>
      <c r="L13" s="61"/>
      <c r="M13" s="61"/>
      <c r="N13" s="61"/>
      <c r="O13" s="62"/>
    </row>
    <row r="14" spans="1:42" hidden="1" x14ac:dyDescent="0.3">
      <c r="A14" s="8"/>
      <c r="B14" s="12">
        <v>44753</v>
      </c>
      <c r="C14" s="17"/>
      <c r="D14" s="17"/>
      <c r="E14" s="18"/>
      <c r="F14" s="17"/>
      <c r="G14" s="18"/>
      <c r="H14" s="17"/>
      <c r="I14" s="33"/>
      <c r="J14" s="17"/>
      <c r="K14" s="33"/>
      <c r="L14" s="34"/>
      <c r="M14" s="34"/>
      <c r="N14" s="17"/>
      <c r="O14" s="19"/>
    </row>
    <row r="15" spans="1:42" hidden="1" x14ac:dyDescent="0.3">
      <c r="A15" s="8"/>
      <c r="B15" s="12">
        <v>44754</v>
      </c>
      <c r="C15" s="17"/>
      <c r="D15" s="17"/>
      <c r="E15" s="18"/>
      <c r="F15" s="17"/>
      <c r="G15" s="18"/>
      <c r="H15" s="17"/>
      <c r="I15" s="33"/>
      <c r="J15" s="17"/>
      <c r="K15" s="33"/>
      <c r="L15" s="34"/>
      <c r="M15" s="34"/>
      <c r="N15" s="17"/>
      <c r="O15" s="19"/>
    </row>
    <row r="16" spans="1:42" hidden="1" x14ac:dyDescent="0.3">
      <c r="A16" s="8"/>
      <c r="B16" s="12">
        <v>44755</v>
      </c>
      <c r="C16" s="17"/>
      <c r="D16" s="17"/>
      <c r="E16" s="18"/>
      <c r="F16" s="17"/>
      <c r="G16" s="18"/>
      <c r="H16" s="17"/>
      <c r="I16" s="33"/>
      <c r="J16" s="17"/>
      <c r="K16" s="33"/>
      <c r="L16" s="34"/>
      <c r="M16" s="34"/>
      <c r="N16" s="17"/>
      <c r="O16" s="19"/>
    </row>
    <row r="17" spans="1:15" hidden="1" x14ac:dyDescent="0.3">
      <c r="A17" s="8"/>
      <c r="B17" s="12">
        <v>44756</v>
      </c>
      <c r="C17" s="17"/>
      <c r="D17" s="17"/>
      <c r="E17" s="18"/>
      <c r="F17" s="17"/>
      <c r="G17" s="18"/>
      <c r="H17" s="17"/>
      <c r="I17" s="33"/>
      <c r="J17" s="17"/>
      <c r="K17" s="33"/>
      <c r="L17" s="34"/>
      <c r="M17" s="34"/>
      <c r="N17" s="17"/>
      <c r="O17" s="19"/>
    </row>
    <row r="18" spans="1:15" hidden="1" x14ac:dyDescent="0.3">
      <c r="A18" s="8"/>
      <c r="B18" s="12">
        <v>44757</v>
      </c>
      <c r="C18" s="17"/>
      <c r="D18" s="17"/>
      <c r="E18" s="18"/>
      <c r="F18" s="17"/>
      <c r="G18" s="18"/>
      <c r="H18" s="17"/>
      <c r="I18" s="33"/>
      <c r="J18" s="17"/>
      <c r="K18" s="33"/>
      <c r="L18" s="34"/>
      <c r="M18" s="34"/>
      <c r="N18" s="17"/>
      <c r="O18" s="19"/>
    </row>
    <row r="19" spans="1:15" hidden="1" x14ac:dyDescent="0.3">
      <c r="A19" s="8"/>
      <c r="B19" s="12">
        <v>44758</v>
      </c>
      <c r="C19" s="17"/>
      <c r="D19" s="17"/>
      <c r="E19" s="18"/>
      <c r="F19" s="17"/>
      <c r="G19" s="18"/>
      <c r="H19" s="17"/>
      <c r="I19" s="33"/>
      <c r="J19" s="17"/>
      <c r="K19" s="33"/>
      <c r="L19" s="34"/>
      <c r="M19" s="34"/>
      <c r="N19" s="17"/>
      <c r="O19" s="19"/>
    </row>
    <row r="20" spans="1:15" hidden="1" x14ac:dyDescent="0.3">
      <c r="A20" s="8"/>
      <c r="B20" s="60" t="s">
        <v>14</v>
      </c>
      <c r="C20" s="61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2"/>
    </row>
    <row r="21" spans="1:15" hidden="1" x14ac:dyDescent="0.3">
      <c r="A21" s="8"/>
      <c r="B21" s="12">
        <v>44760</v>
      </c>
      <c r="C21" s="17"/>
      <c r="D21" s="17"/>
      <c r="E21" s="18"/>
      <c r="F21" s="17"/>
      <c r="G21" s="18"/>
      <c r="H21" s="17"/>
      <c r="I21" s="33"/>
      <c r="J21" s="17"/>
      <c r="K21" s="33"/>
      <c r="L21" s="34"/>
      <c r="M21" s="34"/>
      <c r="N21" s="17"/>
      <c r="O21" s="19"/>
    </row>
    <row r="22" spans="1:15" hidden="1" x14ac:dyDescent="0.3">
      <c r="A22" s="8"/>
      <c r="B22" s="12">
        <v>44761</v>
      </c>
      <c r="C22" s="17"/>
      <c r="D22" s="17"/>
      <c r="E22" s="18"/>
      <c r="F22" s="17"/>
      <c r="G22" s="18"/>
      <c r="H22" s="17"/>
      <c r="I22" s="33"/>
      <c r="J22" s="17"/>
      <c r="K22" s="33"/>
      <c r="L22" s="34"/>
      <c r="M22" s="34"/>
      <c r="N22" s="17"/>
      <c r="O22" s="19"/>
    </row>
    <row r="23" spans="1:15" hidden="1" x14ac:dyDescent="0.3">
      <c r="A23" s="8"/>
      <c r="B23" s="12">
        <v>44762</v>
      </c>
      <c r="C23" s="17"/>
      <c r="D23" s="17"/>
      <c r="E23" s="18"/>
      <c r="F23" s="17"/>
      <c r="G23" s="18"/>
      <c r="H23" s="17"/>
      <c r="I23" s="33"/>
      <c r="J23" s="17"/>
      <c r="K23" s="33"/>
      <c r="L23" s="34"/>
      <c r="M23" s="34"/>
      <c r="N23" s="17"/>
      <c r="O23" s="19"/>
    </row>
    <row r="24" spans="1:15" hidden="1" x14ac:dyDescent="0.3">
      <c r="A24" s="8"/>
      <c r="B24" s="12">
        <v>44763</v>
      </c>
      <c r="C24" s="17"/>
      <c r="D24" s="17"/>
      <c r="E24" s="18"/>
      <c r="F24" s="17"/>
      <c r="G24" s="18"/>
      <c r="H24" s="17"/>
      <c r="I24" s="33"/>
      <c r="J24" s="17"/>
      <c r="K24" s="33"/>
      <c r="L24" s="34"/>
      <c r="M24" s="34"/>
      <c r="N24" s="17"/>
      <c r="O24" s="19"/>
    </row>
    <row r="25" spans="1:15" hidden="1" x14ac:dyDescent="0.3">
      <c r="A25" s="8"/>
      <c r="B25" s="12">
        <v>44764</v>
      </c>
      <c r="C25" s="17"/>
      <c r="D25" s="17"/>
      <c r="E25" s="18"/>
      <c r="F25" s="17"/>
      <c r="G25" s="18"/>
      <c r="H25" s="17"/>
      <c r="I25" s="33"/>
      <c r="J25" s="17"/>
      <c r="K25" s="33"/>
      <c r="L25" s="34"/>
      <c r="M25" s="34"/>
      <c r="N25" s="17"/>
      <c r="O25" s="19"/>
    </row>
    <row r="26" spans="1:15" hidden="1" x14ac:dyDescent="0.3">
      <c r="A26" s="8"/>
      <c r="B26" s="12">
        <v>44765</v>
      </c>
      <c r="C26" s="17"/>
      <c r="D26" s="17"/>
      <c r="E26" s="18"/>
      <c r="F26" s="17"/>
      <c r="G26" s="18"/>
      <c r="H26" s="17"/>
      <c r="I26" s="33"/>
      <c r="J26" s="17"/>
      <c r="K26" s="33"/>
      <c r="L26" s="34"/>
      <c r="M26" s="34"/>
      <c r="N26" s="17"/>
      <c r="O26" s="19"/>
    </row>
    <row r="27" spans="1:15" hidden="1" x14ac:dyDescent="0.3">
      <c r="A27" s="8"/>
      <c r="B27" s="60" t="s">
        <v>14</v>
      </c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2"/>
    </row>
    <row r="28" spans="1:15" hidden="1" x14ac:dyDescent="0.3">
      <c r="B28" s="12">
        <v>44767</v>
      </c>
      <c r="C28" s="17"/>
      <c r="D28" s="17"/>
      <c r="E28" s="18"/>
      <c r="F28" s="17"/>
      <c r="G28" s="18"/>
      <c r="H28" s="17"/>
      <c r="I28" s="17"/>
      <c r="J28" s="17"/>
      <c r="K28" s="17"/>
      <c r="L28" s="17"/>
      <c r="M28" s="17"/>
      <c r="N28" s="17"/>
      <c r="O28" s="19"/>
    </row>
    <row r="29" spans="1:15" hidden="1" x14ac:dyDescent="0.3">
      <c r="B29" s="12">
        <v>44768</v>
      </c>
      <c r="C29" s="17"/>
      <c r="D29" s="17"/>
      <c r="E29" s="18"/>
      <c r="F29" s="17"/>
      <c r="G29" s="18"/>
      <c r="H29" s="17"/>
      <c r="I29" s="33"/>
      <c r="J29" s="17"/>
      <c r="K29" s="33"/>
      <c r="L29" s="34"/>
      <c r="M29" s="34"/>
      <c r="N29" s="17"/>
      <c r="O29" s="19"/>
    </row>
    <row r="30" spans="1:15" hidden="1" x14ac:dyDescent="0.3">
      <c r="B30" s="12">
        <v>44769</v>
      </c>
      <c r="C30" s="17"/>
      <c r="D30" s="17"/>
      <c r="E30" s="18"/>
      <c r="F30" s="17"/>
      <c r="G30" s="18"/>
      <c r="H30" s="17"/>
      <c r="I30" s="17"/>
      <c r="J30" s="17"/>
      <c r="K30" s="17"/>
      <c r="L30" s="17"/>
      <c r="M30" s="17"/>
      <c r="N30" s="17"/>
      <c r="O30" s="19"/>
    </row>
    <row r="31" spans="1:15" hidden="1" x14ac:dyDescent="0.3">
      <c r="B31" s="12">
        <v>44770</v>
      </c>
      <c r="C31" s="17"/>
      <c r="D31" s="17"/>
      <c r="E31" s="18"/>
      <c r="F31" s="17"/>
      <c r="G31" s="18"/>
      <c r="H31" s="17"/>
      <c r="I31" s="17"/>
      <c r="J31" s="17"/>
      <c r="K31" s="17"/>
      <c r="L31" s="17"/>
      <c r="M31" s="17"/>
      <c r="N31" s="17"/>
      <c r="O31" s="19"/>
    </row>
    <row r="32" spans="1:15" hidden="1" x14ac:dyDescent="0.3">
      <c r="B32" s="12">
        <v>44771</v>
      </c>
      <c r="C32" s="21"/>
      <c r="D32" s="21"/>
      <c r="E32" s="18"/>
      <c r="F32" s="21"/>
      <c r="G32" s="18"/>
      <c r="H32" s="21"/>
      <c r="I32" s="21"/>
      <c r="J32" s="21"/>
      <c r="K32" s="21"/>
      <c r="L32" s="21"/>
      <c r="M32" s="21"/>
      <c r="N32" s="21"/>
      <c r="O32" s="35"/>
    </row>
    <row r="33" spans="2:30" hidden="1" x14ac:dyDescent="0.3">
      <c r="B33" s="12">
        <v>44772</v>
      </c>
      <c r="C33" s="17"/>
      <c r="D33" s="17"/>
      <c r="E33" s="18"/>
      <c r="F33" s="17"/>
      <c r="G33" s="18"/>
      <c r="H33" s="17"/>
      <c r="I33" s="17"/>
      <c r="J33" s="17"/>
      <c r="K33" s="17"/>
      <c r="L33" s="17"/>
      <c r="M33" s="17"/>
      <c r="N33" s="17"/>
      <c r="O33" s="19"/>
    </row>
    <row r="34" spans="2:30" ht="15" thickBot="1" x14ac:dyDescent="0.35">
      <c r="B34" s="60"/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2"/>
    </row>
    <row r="35" spans="2:30" ht="15" thickBot="1" x14ac:dyDescent="0.35">
      <c r="B35" s="46" t="s">
        <v>12</v>
      </c>
      <c r="C35" s="47">
        <f>IFERROR(AVERAGE(C7:C12),0)</f>
        <v>0</v>
      </c>
      <c r="D35" s="48">
        <f>IFERROR(AVERAGE(D7:D12),0)</f>
        <v>0</v>
      </c>
      <c r="E35" s="49">
        <f>IFERROR(AVERAGE(E7:E12),0)</f>
        <v>0</v>
      </c>
      <c r="F35" s="47">
        <f>IFERROR(AVERAGE(F7:F12),0)</f>
        <v>0</v>
      </c>
      <c r="G35" s="49">
        <f>IFERROR(AVERAGE(G7:G12),0)</f>
        <v>0</v>
      </c>
      <c r="H35" s="44">
        <f t="shared" ref="H35:M35" si="0">IFERROR(AVERAGE(H4:H33),0)</f>
        <v>0</v>
      </c>
      <c r="I35" s="23">
        <f t="shared" si="0"/>
        <v>0</v>
      </c>
      <c r="J35" s="23">
        <f t="shared" si="0"/>
        <v>0</v>
      </c>
      <c r="K35" s="23">
        <f t="shared" si="0"/>
        <v>0</v>
      </c>
      <c r="L35" s="23">
        <f t="shared" si="0"/>
        <v>0</v>
      </c>
      <c r="M35" s="39">
        <f t="shared" si="0"/>
        <v>0</v>
      </c>
      <c r="N35" s="47">
        <f>IFERROR(AVERAGE(N7:N12),0)</f>
        <v>0</v>
      </c>
      <c r="O35" s="42">
        <f>IFERROR(AVERAGE(O7:O12),0)</f>
        <v>0</v>
      </c>
      <c r="T35" s="51"/>
      <c r="V35" s="51"/>
      <c r="X35" s="51"/>
      <c r="Z35" s="51"/>
      <c r="AA35" s="52"/>
      <c r="AB35" s="52"/>
      <c r="AD35" s="51"/>
    </row>
    <row r="36" spans="2:30" ht="15" thickBot="1" x14ac:dyDescent="0.35">
      <c r="B36" s="46" t="s">
        <v>13</v>
      </c>
      <c r="C36" s="45">
        <f>SUM(C7:C12)</f>
        <v>0</v>
      </c>
      <c r="D36" s="43">
        <f>SUM(D7:D12)</f>
        <v>0</v>
      </c>
      <c r="E36" s="40"/>
      <c r="F36" s="43">
        <f>SUM(F7:F12)</f>
        <v>0</v>
      </c>
      <c r="G36" s="40"/>
      <c r="H36" s="29">
        <f t="shared" ref="H36:M36" si="1">SUM(H4:H33)</f>
        <v>0</v>
      </c>
      <c r="I36" s="36">
        <f t="shared" si="1"/>
        <v>0</v>
      </c>
      <c r="J36" s="28">
        <f t="shared" si="1"/>
        <v>0</v>
      </c>
      <c r="K36" s="37">
        <f t="shared" si="1"/>
        <v>0</v>
      </c>
      <c r="L36" s="38">
        <f t="shared" si="1"/>
        <v>0</v>
      </c>
      <c r="M36" s="41">
        <f t="shared" si="1"/>
        <v>0</v>
      </c>
      <c r="N36" s="43">
        <f>SUM(N7:N12)</f>
        <v>0</v>
      </c>
      <c r="O36" s="50"/>
    </row>
    <row r="40" spans="2:30" x14ac:dyDescent="0.3">
      <c r="U40" s="63"/>
    </row>
  </sheetData>
  <dataConsolidate/>
  <mergeCells count="6">
    <mergeCell ref="B13:O13"/>
    <mergeCell ref="B20:O20"/>
    <mergeCell ref="B27:O27"/>
    <mergeCell ref="B34:O34"/>
    <mergeCell ref="B2:O2"/>
    <mergeCell ref="B6:O6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Maio</vt:lpstr>
      <vt:lpstr>Junho</vt:lpstr>
      <vt:lpstr>Julho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Danielle Soares de Moura</dc:creator>
  <cp:lastModifiedBy>Rafael Vilela Figueiredo</cp:lastModifiedBy>
  <dcterms:created xsi:type="dcterms:W3CDTF">2022-05-25T15:54:10Z</dcterms:created>
  <dcterms:modified xsi:type="dcterms:W3CDTF">2022-10-10T21:46:44Z</dcterms:modified>
</cp:coreProperties>
</file>